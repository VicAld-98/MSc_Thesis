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"/>
    </mc:Choice>
  </mc:AlternateContent>
  <xr:revisionPtr revIDLastSave="0" documentId="13_ncr:1_{4BE86BCA-ABC5-4FB8-90D6-B3529C8C5DDD}" xr6:coauthVersionLast="47" xr6:coauthVersionMax="47" xr10:uidLastSave="{00000000-0000-0000-0000-000000000000}"/>
  <bookViews>
    <workbookView xWindow="-110" yWindow="-110" windowWidth="19420" windowHeight="10300" firstSheet="4" activeTab="4" xr2:uid="{BE9E1B20-F774-4403-AE5C-DF5EFBCC1600}"/>
  </bookViews>
  <sheets>
    <sheet name="Progress" sheetId="3" r:id="rId1"/>
    <sheet name="Run_Time" sheetId="8" r:id="rId2"/>
    <sheet name="BUSCO_QUAST" sheetId="1" r:id="rId3"/>
    <sheet name="Merqury" sheetId="9" r:id="rId4"/>
    <sheet name="Mapping_Depth_Samtools" sheetId="2" r:id="rId5"/>
  </sheets>
  <definedNames>
    <definedName name="_xlnm._FilterDatabase" localSheetId="2" hidden="1">BUSCO_QUAST!$A$2:$N$11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<sst xmlns="http://schemas.openxmlformats.org/spreadsheetml/2006/main" count="220" uniqueCount="120">
  <si>
    <t>Flye</t>
  </si>
  <si>
    <t>Shasta</t>
  </si>
  <si>
    <t xml:space="preserve">HiFiASM </t>
  </si>
  <si>
    <t>Assembler</t>
  </si>
  <si>
    <t>Parameters</t>
  </si>
  <si>
    <t>No duplicate purging</t>
  </si>
  <si>
    <t>L50</t>
  </si>
  <si>
    <t># Contigs</t>
  </si>
  <si>
    <t>GC %</t>
  </si>
  <si>
    <t>QUAST</t>
  </si>
  <si>
    <t xml:space="preserve">BUSCO  </t>
  </si>
  <si>
    <t>Total Length (GB)</t>
  </si>
  <si>
    <t>#N/100kbp</t>
  </si>
  <si>
    <t>N50 (MB)</t>
  </si>
  <si>
    <t>Largest contig (MB)</t>
  </si>
  <si>
    <t xml:space="preserve">Duplicate  </t>
  </si>
  <si>
    <t xml:space="preserve">Single </t>
  </si>
  <si>
    <t>Fragmented</t>
  </si>
  <si>
    <t>Missing</t>
  </si>
  <si>
    <t>Total Run Time (hours)</t>
  </si>
  <si>
    <t>Assembly</t>
  </si>
  <si>
    <t>Total Reads</t>
  </si>
  <si>
    <t>Primary Mapped %</t>
  </si>
  <si>
    <t>Average Depth</t>
  </si>
  <si>
    <t>No Purged Duplicates</t>
  </si>
  <si>
    <t>HiFiASM</t>
  </si>
  <si>
    <t>Jellyfish</t>
  </si>
  <si>
    <t>Genomescope2</t>
  </si>
  <si>
    <t>Assemble</t>
  </si>
  <si>
    <t xml:space="preserve">QUAST </t>
  </si>
  <si>
    <t xml:space="preserve">BUSCO </t>
  </si>
  <si>
    <t>Bandage</t>
  </si>
  <si>
    <t>Samtools (Mapping &amp; Depth)</t>
  </si>
  <si>
    <t>AFTER DUPLICATION PURGE</t>
  </si>
  <si>
    <t>Merqury</t>
  </si>
  <si>
    <t>RepeatMasker</t>
  </si>
  <si>
    <t>Done - 16/12</t>
  </si>
  <si>
    <t>Done - 20/12</t>
  </si>
  <si>
    <t>Done - 21/12</t>
  </si>
  <si>
    <t>Done - 30/12</t>
  </si>
  <si>
    <t>Done -20/12</t>
  </si>
  <si>
    <t>Done - 22/12</t>
  </si>
  <si>
    <t>Done - 23/12</t>
  </si>
  <si>
    <t>Done - 24/12</t>
  </si>
  <si>
    <t>Done - 29/12</t>
  </si>
  <si>
    <t>Done - 31/12</t>
  </si>
  <si>
    <t>Comment</t>
  </si>
  <si>
    <t>Total Mapped %</t>
  </si>
  <si>
    <t xml:space="preserve">As average depth is based on genome size estimates, the assemblies with bigger genome prediction will have a lower average depth. Depth is inversely proprtional to genome size for the same number of reads. </t>
  </si>
  <si>
    <t>Comparison Graph Done - 31/12</t>
  </si>
  <si>
    <t>The slight decrease in mapping after purging is expected and normal which shows that there was not over-aggressive purging. If the purging on the other hand was under-aggressive (?), we would likely see higher than expected duplicate BUSCOs - which we don't have, suggesting an acceptable amount of purging was done. This 0.01% loss of mapping is more than made up by a decrease of 35% in duplicated BUSCOs.</t>
  </si>
  <si>
    <t>Smudgeplot</t>
  </si>
  <si>
    <t>Done - 15/12</t>
  </si>
  <si>
    <t>Plots (GC/Coverage/Repeat/Error)</t>
  </si>
  <si>
    <t>CHOSEN ASSEMBLY</t>
  </si>
  <si>
    <t>PyMol</t>
  </si>
  <si>
    <t>Done - 07/01</t>
  </si>
  <si>
    <t>Done - 08/01</t>
  </si>
  <si>
    <t>HiCanu</t>
  </si>
  <si>
    <t>Done - 09/01</t>
  </si>
  <si>
    <t>CHECKPOINT</t>
  </si>
  <si>
    <t>purge_dups</t>
  </si>
  <si>
    <t>Built-in duplicate purging</t>
  </si>
  <si>
    <t>Comparison plot Done - 24 /12</t>
  </si>
  <si>
    <t>Done - 10/01</t>
  </si>
  <si>
    <t xml:space="preserve"> 2 purge_dups</t>
  </si>
  <si>
    <t>2 purge_dups</t>
  </si>
  <si>
    <t>Total</t>
  </si>
  <si>
    <t>NOTE: The 1st - 8th of January was spent running meryl, merqury, repeatmasker and repeatmodeler on the HiFiASM assembly (prior to purge_dups, so I had to redo all of it but at least everything is installed and running so it won't take as long next time!)</t>
  </si>
  <si>
    <t>Done 11/01</t>
  </si>
  <si>
    <t>Meryl</t>
  </si>
  <si>
    <t>Done - 11/01</t>
  </si>
  <si>
    <t>MERQURY</t>
  </si>
  <si>
    <t>Q Value</t>
  </si>
  <si>
    <t>Error Rate</t>
  </si>
  <si>
    <t>NA</t>
  </si>
  <si>
    <t>RepeatModeler</t>
  </si>
  <si>
    <t>Integrated duplicate purging</t>
  </si>
  <si>
    <t>3 purge_dups</t>
  </si>
  <si>
    <t>4 purge_dups</t>
  </si>
  <si>
    <t xml:space="preserve">HiFiASM3 </t>
  </si>
  <si>
    <t>HiFiASM4</t>
  </si>
  <si>
    <t>Done - 13/01</t>
  </si>
  <si>
    <t>Done - 15/01</t>
  </si>
  <si>
    <t>HiFiASM3</t>
  </si>
  <si>
    <t>28S rRNA</t>
  </si>
  <si>
    <t>mitoHiFi</t>
  </si>
  <si>
    <t>Done - 16/01</t>
  </si>
  <si>
    <t>NUMTFinder</t>
  </si>
  <si>
    <t>Done - 17/01</t>
  </si>
  <si>
    <t>Done - 18/01</t>
  </si>
  <si>
    <t>BlobPlot</t>
  </si>
  <si>
    <t>Bandage BLAST</t>
  </si>
  <si>
    <t>Blobtool Coverage</t>
  </si>
  <si>
    <t>Blobtool Hits</t>
  </si>
  <si>
    <t>Blobtool BUSCO</t>
  </si>
  <si>
    <t>Blobtool Create</t>
  </si>
  <si>
    <t>Done - 19/01</t>
  </si>
  <si>
    <t>Done - 21/01</t>
  </si>
  <si>
    <t>Done - 22/01</t>
  </si>
  <si>
    <t>IQTREE COI</t>
  </si>
  <si>
    <t>Done -24/01</t>
  </si>
  <si>
    <t>Done - 24/01</t>
  </si>
  <si>
    <t>Prothint</t>
  </si>
  <si>
    <t>Done - 26/01</t>
  </si>
  <si>
    <t>BLAST Asco contigs (nt)</t>
  </si>
  <si>
    <t>mtDNA Dotplot Mummer</t>
  </si>
  <si>
    <t>Dgenie Dotplot</t>
  </si>
  <si>
    <t>Done - 28/01</t>
  </si>
  <si>
    <t>Done - 04/02</t>
  </si>
  <si>
    <t>EggNog</t>
  </si>
  <si>
    <t>Done - 05/02</t>
  </si>
  <si>
    <t>GALBA (Arthropoda)</t>
  </si>
  <si>
    <t>Done 05/02</t>
  </si>
  <si>
    <t>GALBA (D. australis)</t>
  </si>
  <si>
    <t>Add genes to proteins</t>
  </si>
  <si>
    <t>Done - 07/02</t>
  </si>
  <si>
    <t>PROBLEM</t>
  </si>
  <si>
    <t>GeneMark-ES</t>
  </si>
  <si>
    <t>Done 26/01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</si>
</sst>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9" xfId="0" applyBorder="1"/>
    <xf numFmtId="0" fontId="0" fillId="0" borderId="8" xfId="0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48" xfId="0" applyFill="1" applyBorder="1" applyAlignment="1">
      <alignment horizontal="center" vertical="center" textRotation="90" wrapText="1"/>
    </xf>
    <xf numFmtId="0" fontId="1" fillId="4" borderId="5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2" xfId="0" applyBorder="1"/>
    <xf numFmtId="2" fontId="1" fillId="0" borderId="56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0" fillId="8" borderId="3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4" borderId="44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1" fontId="1" fillId="0" borderId="6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0" fontId="0" fillId="2" borderId="31" xfId="0" applyFill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164" fontId="1" fillId="0" borderId="55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11" fontId="1" fillId="0" borderId="6" xfId="0" applyNumberFormat="1" applyFont="1" applyBorder="1" applyAlignment="1">
      <alignment horizontal="center" vertical="center"/>
    </xf>
    <xf numFmtId="11" fontId="1" fillId="9" borderId="31" xfId="0" applyNumberFormat="1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1" fillId="6" borderId="59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1" fontId="1" fillId="0" borderId="7" xfId="0" applyNumberFormat="1" applyFont="1" applyBorder="1" applyAlignment="1">
      <alignment horizontal="center"/>
    </xf>
    <xf numFmtId="0" fontId="1" fillId="0" borderId="58" xfId="0" applyFont="1" applyBorder="1" applyAlignment="1">
      <alignment horizontal="center" vertical="center"/>
    </xf>
    <xf numFmtId="11" fontId="1" fillId="0" borderId="58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11" fontId="1" fillId="0" borderId="3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164" fontId="1" fillId="9" borderId="52" xfId="0" applyNumberFormat="1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9" borderId="4" xfId="0" applyNumberFormat="1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164" fontId="1" fillId="9" borderId="5" xfId="0" applyNumberFormat="1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7" fillId="0" borderId="0" xfId="0" applyFont="1"/>
    <xf numFmtId="0" fontId="0" fillId="7" borderId="42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/>
    </xf>
    <xf numFmtId="164" fontId="1" fillId="9" borderId="9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textRotation="90"/>
    </xf>
    <xf numFmtId="0" fontId="0" fillId="0" borderId="42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3" fillId="2" borderId="18" xfId="0" applyFont="1" applyFill="1" applyBorder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textRotation="90" wrapText="1"/>
    </xf>
    <xf numFmtId="0" fontId="3" fillId="2" borderId="39" xfId="0" applyFont="1" applyFill="1" applyBorder="1" applyAlignment="1">
      <alignment horizontal="center" vertical="center" textRotation="90" wrapText="1"/>
    </xf>
    <xf numFmtId="0" fontId="0" fillId="8" borderId="20" xfId="0" applyFill="1" applyBorder="1" applyAlignment="1">
      <alignment horizontal="center" vertical="center" textRotation="90" wrapText="1"/>
    </xf>
    <xf numFmtId="0" fontId="0" fillId="8" borderId="42" xfId="0" applyFill="1" applyBorder="1" applyAlignment="1">
      <alignment horizontal="center" vertical="center" textRotation="90" wrapText="1"/>
    </xf>
    <xf numFmtId="0" fontId="0" fillId="8" borderId="30" xfId="0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42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/>
    </xf>
    <xf numFmtId="0" fontId="0" fillId="0" borderId="43" xfId="0" applyBorder="1" applyAlignment="1">
      <alignment horizontal="center" vertical="center" textRotation="90" wrapText="1"/>
    </xf>
    <xf numFmtId="0" fontId="0" fillId="0" borderId="44" xfId="0" applyBorder="1" applyAlignment="1">
      <alignment horizontal="center" vertical="center" textRotation="90" wrapText="1"/>
    </xf>
    <xf numFmtId="0" fontId="0" fillId="0" borderId="45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40" xfId="0" applyBorder="1" applyAlignment="1">
      <alignment horizontal="center" vertical="center" textRotation="90" wrapText="1"/>
    </xf>
    <xf numFmtId="0" fontId="0" fillId="0" borderId="41" xfId="0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 vertical="center" textRotation="90" wrapText="1"/>
    </xf>
    <xf numFmtId="0" fontId="5" fillId="2" borderId="20" xfId="0" applyFont="1" applyFill="1" applyBorder="1" applyAlignment="1">
      <alignment horizontal="center" vertical="center" textRotation="90" wrapText="1"/>
    </xf>
    <xf numFmtId="0" fontId="5" fillId="2" borderId="42" xfId="0" applyFont="1" applyFill="1" applyBorder="1" applyAlignment="1">
      <alignment horizontal="center" vertical="center" textRotation="90" wrapText="1"/>
    </xf>
    <xf numFmtId="0" fontId="5" fillId="2" borderId="30" xfId="0" applyFont="1" applyFill="1" applyBorder="1" applyAlignment="1">
      <alignment horizontal="center" vertical="center" textRotation="90" wrapText="1"/>
    </xf>
    <xf numFmtId="0" fontId="5" fillId="2" borderId="18" xfId="0" applyFont="1" applyFill="1" applyBorder="1" applyAlignment="1">
      <alignment horizontal="center" vertical="center" textRotation="90" wrapText="1"/>
    </xf>
    <xf numFmtId="0" fontId="5" fillId="2" borderId="0" xfId="0" applyFont="1" applyFill="1" applyAlignment="1">
      <alignment horizontal="center" vertical="center" textRotation="90" wrapText="1"/>
    </xf>
    <xf numFmtId="0" fontId="5" fillId="2" borderId="39" xfId="0" applyFont="1" applyFill="1" applyBorder="1" applyAlignment="1">
      <alignment horizontal="center" vertical="center" textRotation="90" wrapText="1"/>
    </xf>
    <xf numFmtId="0" fontId="2" fillId="0" borderId="52" xfId="0" applyFont="1" applyBorder="1" applyAlignment="1">
      <alignment horizontal="center" vertical="center" textRotation="90" wrapText="1"/>
    </xf>
    <xf numFmtId="0" fontId="2" fillId="0" borderId="53" xfId="0" applyFont="1" applyBorder="1" applyAlignment="1">
      <alignment horizontal="center" vertical="center" textRotation="90" wrapText="1"/>
    </xf>
    <xf numFmtId="0" fontId="2" fillId="0" borderId="36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49" xfId="0" applyFont="1" applyBorder="1" applyAlignment="1">
      <alignment horizontal="center" vertical="center" textRotation="90" wrapText="1"/>
    </xf>
    <xf numFmtId="0" fontId="2" fillId="0" borderId="38" xfId="0" applyFont="1" applyBorder="1" applyAlignment="1">
      <alignment horizontal="center" vertical="center" textRotation="90" wrapText="1"/>
    </xf>
    <xf numFmtId="0" fontId="2" fillId="0" borderId="51" xfId="0" applyFont="1" applyBorder="1" applyAlignment="1">
      <alignment horizontal="center" vertical="center" textRotation="90" wrapText="1"/>
    </xf>
    <xf numFmtId="0" fontId="2" fillId="0" borderId="54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5" fillId="2" borderId="23" xfId="0" applyFont="1" applyFill="1" applyBorder="1" applyAlignment="1">
      <alignment horizontal="center" vertical="center" textRotation="90"/>
    </xf>
    <xf numFmtId="0" fontId="5" fillId="2" borderId="40" xfId="0" applyFont="1" applyFill="1" applyBorder="1" applyAlignment="1">
      <alignment horizontal="center" vertical="center" textRotation="90"/>
    </xf>
    <xf numFmtId="0" fontId="5" fillId="2" borderId="41" xfId="0" applyFont="1" applyFill="1" applyBorder="1" applyAlignment="1">
      <alignment horizontal="center" vertical="center" textRotation="90"/>
    </xf>
    <xf numFmtId="0" fontId="5" fillId="8" borderId="63" xfId="0" applyFont="1" applyFill="1" applyBorder="1" applyAlignment="1">
      <alignment horizontal="center" vertical="center" textRotation="90" wrapText="1"/>
    </xf>
    <xf numFmtId="0" fontId="5" fillId="8" borderId="64" xfId="0" applyFont="1" applyFill="1" applyBorder="1" applyAlignment="1">
      <alignment horizontal="center" vertical="center" textRotation="90" wrapText="1"/>
    </xf>
    <xf numFmtId="0" fontId="1" fillId="6" borderId="9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 textRotation="90" wrapText="1"/>
    </xf>
    <xf numFmtId="0" fontId="0" fillId="4" borderId="7" xfId="0" applyFill="1" applyBorder="1" applyAlignment="1">
      <alignment horizontal="center" vertical="center" textRotation="90" wrapText="1"/>
    </xf>
    <xf numFmtId="0" fontId="0" fillId="4" borderId="8" xfId="0" applyFill="1" applyBorder="1" applyAlignment="1">
      <alignment horizontal="center" vertical="center" textRotation="90" wrapText="1"/>
    </xf>
    <xf numFmtId="0" fontId="0" fillId="4" borderId="6" xfId="0" applyFill="1" applyBorder="1" applyAlignment="1">
      <alignment horizontal="center" vertical="center" textRotation="90" wrapText="1"/>
    </xf>
  </cellXfs>
  <cellStyles count="1">
    <cellStyle name="Normal" xfId="0" builtinId="0"/>
  </cellStyles>
  <dxfs count="4">
    <dxf>
      <fill>
        <patternFill>
          <bgColor rgb="FFFF4343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D104-4F5C-47F0-9D2A-F9DE8D1599E6}">
  <dimension ref="A1:AQ16"/>
  <sheetViews>
    <sheetView topLeftCell="AG1" zoomScale="93" workbookViewId="0">
      <selection activeCell="AO7" sqref="AO7"/>
    </sheetView>
  </sheetViews>
  <sheetFormatPr defaultRowHeight="14.5" x14ac:dyDescent="0.35"/>
  <cols>
    <col min="2" max="2" width="13.6328125" bestFit="1" customWidth="1"/>
    <col min="3" max="3" width="10.36328125" bestFit="1" customWidth="1"/>
    <col min="4" max="4" width="13.7265625" bestFit="1" customWidth="1"/>
    <col min="5" max="5" width="10.36328125" customWidth="1"/>
    <col min="6" max="6" width="12.08984375" customWidth="1"/>
    <col min="7" max="8" width="13" customWidth="1"/>
    <col min="9" max="9" width="12.36328125" customWidth="1"/>
    <col min="11" max="11" width="11.36328125" customWidth="1"/>
    <col min="12" max="12" width="15.453125" customWidth="1"/>
    <col min="13" max="13" width="12.6328125" customWidth="1"/>
    <col min="14" max="16" width="10.90625" customWidth="1"/>
    <col min="17" max="21" width="12.7265625" customWidth="1"/>
    <col min="22" max="22" width="13.81640625" customWidth="1"/>
    <col min="23" max="23" width="11.453125" bestFit="1" customWidth="1"/>
    <col min="24" max="24" width="10.1796875" customWidth="1"/>
    <col min="26" max="26" width="13.1796875" bestFit="1" customWidth="1"/>
    <col min="27" max="27" width="12.453125" bestFit="1" customWidth="1"/>
    <col min="28" max="28" width="12.81640625" customWidth="1"/>
    <col min="29" max="29" width="7.81640625" customWidth="1"/>
    <col min="30" max="30" width="6.90625" customWidth="1"/>
    <col min="31" max="31" width="11" customWidth="1"/>
    <col min="32" max="34" width="9.453125" customWidth="1"/>
    <col min="35" max="35" width="6.90625" customWidth="1"/>
    <col min="36" max="37" width="9.7265625" customWidth="1"/>
    <col min="38" max="41" width="11.36328125" customWidth="1"/>
    <col min="42" max="42" width="9.453125" customWidth="1"/>
    <col min="49" max="49" width="8.7265625" customWidth="1"/>
  </cols>
  <sheetData>
    <row r="1" spans="1:43" ht="15" thickBot="1" x14ac:dyDescent="0.4"/>
    <row r="2" spans="1:43" s="23" customFormat="1" ht="44" customHeight="1" thickBot="1" x14ac:dyDescent="0.4">
      <c r="A2" s="38" t="s">
        <v>26</v>
      </c>
      <c r="B2" s="39" t="s">
        <v>27</v>
      </c>
      <c r="C2" s="45" t="s">
        <v>51</v>
      </c>
      <c r="D2" s="40" t="s">
        <v>3</v>
      </c>
      <c r="E2" s="33" t="s">
        <v>28</v>
      </c>
      <c r="F2" s="10" t="s">
        <v>29</v>
      </c>
      <c r="G2" s="10" t="s">
        <v>30</v>
      </c>
      <c r="H2" s="10" t="s">
        <v>31</v>
      </c>
      <c r="I2" s="11" t="s">
        <v>32</v>
      </c>
      <c r="J2" s="179" t="s">
        <v>33</v>
      </c>
      <c r="K2" s="33" t="s">
        <v>28</v>
      </c>
      <c r="L2" s="10" t="s">
        <v>9</v>
      </c>
      <c r="M2" s="10" t="s">
        <v>30</v>
      </c>
      <c r="N2" s="11" t="s">
        <v>32</v>
      </c>
      <c r="O2" s="203" t="s">
        <v>60</v>
      </c>
      <c r="P2" s="160" t="s">
        <v>70</v>
      </c>
      <c r="Q2" s="160" t="s">
        <v>34</v>
      </c>
      <c r="R2" s="10" t="s">
        <v>96</v>
      </c>
      <c r="S2" s="10" t="s">
        <v>93</v>
      </c>
      <c r="T2" s="10" t="s">
        <v>94</v>
      </c>
      <c r="U2" s="170" t="s">
        <v>95</v>
      </c>
      <c r="V2" s="103" t="s">
        <v>91</v>
      </c>
      <c r="W2" s="164" t="s">
        <v>105</v>
      </c>
      <c r="X2" s="164" t="s">
        <v>92</v>
      </c>
      <c r="Y2" s="215" t="s">
        <v>54</v>
      </c>
      <c r="Z2" s="66" t="s">
        <v>76</v>
      </c>
      <c r="AA2" s="10" t="s">
        <v>35</v>
      </c>
      <c r="AB2" s="11" t="s">
        <v>53</v>
      </c>
      <c r="AC2" s="153" t="s">
        <v>86</v>
      </c>
      <c r="AD2" s="153" t="s">
        <v>85</v>
      </c>
      <c r="AE2" s="103" t="s">
        <v>88</v>
      </c>
      <c r="AF2" s="103" t="s">
        <v>100</v>
      </c>
      <c r="AG2" s="103" t="s">
        <v>106</v>
      </c>
      <c r="AH2" s="103" t="s">
        <v>107</v>
      </c>
      <c r="AI2" s="200" t="s">
        <v>60</v>
      </c>
      <c r="AJ2" s="103" t="s">
        <v>103</v>
      </c>
      <c r="AK2" s="103" t="s">
        <v>118</v>
      </c>
      <c r="AL2" s="103" t="s">
        <v>112</v>
      </c>
      <c r="AM2" s="103" t="s">
        <v>114</v>
      </c>
      <c r="AN2" s="103" t="s">
        <v>115</v>
      </c>
      <c r="AO2" s="37" t="s">
        <v>110</v>
      </c>
      <c r="AP2" s="103" t="s">
        <v>107</v>
      </c>
      <c r="AQ2" s="44" t="s">
        <v>55</v>
      </c>
    </row>
    <row r="3" spans="1:43" s="23" customFormat="1" ht="30" customHeight="1" x14ac:dyDescent="0.35">
      <c r="A3" s="190" t="s">
        <v>52</v>
      </c>
      <c r="B3" s="193" t="s">
        <v>52</v>
      </c>
      <c r="C3" s="196" t="s">
        <v>56</v>
      </c>
      <c r="D3" s="41" t="s">
        <v>25</v>
      </c>
      <c r="E3" s="12" t="s">
        <v>36</v>
      </c>
      <c r="F3" s="13" t="s">
        <v>36</v>
      </c>
      <c r="G3" s="13" t="s">
        <v>36</v>
      </c>
      <c r="H3" s="14" t="s">
        <v>37</v>
      </c>
      <c r="I3" s="34" t="s">
        <v>39</v>
      </c>
      <c r="J3" s="180"/>
      <c r="K3" s="62" t="s">
        <v>64</v>
      </c>
      <c r="L3" s="15" t="s">
        <v>64</v>
      </c>
      <c r="M3" s="15" t="s">
        <v>64</v>
      </c>
      <c r="N3" s="34" t="s">
        <v>71</v>
      </c>
      <c r="O3" s="204"/>
      <c r="P3" s="218" t="s">
        <v>69</v>
      </c>
      <c r="Q3" s="166" t="s">
        <v>71</v>
      </c>
      <c r="R3" s="15" t="s">
        <v>89</v>
      </c>
      <c r="S3" s="15" t="s">
        <v>90</v>
      </c>
      <c r="T3" s="15" t="s">
        <v>90</v>
      </c>
      <c r="U3" s="165" t="s">
        <v>90</v>
      </c>
      <c r="V3" s="171" t="s">
        <v>99</v>
      </c>
      <c r="W3" s="186" t="s">
        <v>102</v>
      </c>
      <c r="X3" s="186" t="s">
        <v>117</v>
      </c>
      <c r="Y3" s="216"/>
      <c r="Z3" s="206" t="s">
        <v>82</v>
      </c>
      <c r="AA3" s="209" t="s">
        <v>83</v>
      </c>
      <c r="AB3" s="212" t="s">
        <v>90</v>
      </c>
      <c r="AC3" s="186" t="s">
        <v>87</v>
      </c>
      <c r="AD3" s="186" t="s">
        <v>83</v>
      </c>
      <c r="AE3" s="187" t="s">
        <v>89</v>
      </c>
      <c r="AF3" s="187" t="s">
        <v>101</v>
      </c>
      <c r="AG3" s="186" t="s">
        <v>104</v>
      </c>
      <c r="AH3" s="186" t="s">
        <v>108</v>
      </c>
      <c r="AI3" s="201"/>
      <c r="AJ3" s="182" t="s">
        <v>104</v>
      </c>
      <c r="AK3" s="182" t="s">
        <v>119</v>
      </c>
      <c r="AL3" s="176" t="s">
        <v>111</v>
      </c>
      <c r="AM3" s="176" t="s">
        <v>111</v>
      </c>
      <c r="AN3" s="176" t="s">
        <v>116</v>
      </c>
      <c r="AO3" s="176" t="s">
        <v>113</v>
      </c>
      <c r="AP3" s="186" t="s">
        <v>108</v>
      </c>
      <c r="AQ3" s="176" t="s">
        <v>109</v>
      </c>
    </row>
    <row r="4" spans="1:43" s="23" customFormat="1" ht="29" x14ac:dyDescent="0.35">
      <c r="A4" s="191"/>
      <c r="B4" s="194"/>
      <c r="C4" s="197"/>
      <c r="D4" s="42" t="s">
        <v>0</v>
      </c>
      <c r="E4" s="16" t="s">
        <v>40</v>
      </c>
      <c r="F4" s="17" t="s">
        <v>38</v>
      </c>
      <c r="G4" s="17" t="s">
        <v>41</v>
      </c>
      <c r="H4" s="18" t="s">
        <v>38</v>
      </c>
      <c r="I4" s="35" t="s">
        <v>45</v>
      </c>
      <c r="J4" s="180"/>
      <c r="K4" s="143" t="s">
        <v>64</v>
      </c>
      <c r="L4" s="145" t="s">
        <v>64</v>
      </c>
      <c r="M4" s="144" t="s">
        <v>64</v>
      </c>
      <c r="N4" s="35" t="s">
        <v>71</v>
      </c>
      <c r="O4" s="204"/>
      <c r="P4" s="218"/>
      <c r="Q4" s="167" t="s">
        <v>71</v>
      </c>
      <c r="R4" s="145" t="s">
        <v>90</v>
      </c>
      <c r="S4" s="162" t="s">
        <v>97</v>
      </c>
      <c r="T4" s="162" t="s">
        <v>98</v>
      </c>
      <c r="U4" s="162" t="s">
        <v>90</v>
      </c>
      <c r="V4" s="172" t="s">
        <v>99</v>
      </c>
      <c r="W4" s="187"/>
      <c r="X4" s="187"/>
      <c r="Y4" s="216"/>
      <c r="Z4" s="207"/>
      <c r="AA4" s="210"/>
      <c r="AB4" s="213"/>
      <c r="AC4" s="187"/>
      <c r="AD4" s="187"/>
      <c r="AE4" s="187"/>
      <c r="AF4" s="187"/>
      <c r="AG4" s="187"/>
      <c r="AH4" s="187"/>
      <c r="AI4" s="201"/>
      <c r="AJ4" s="183"/>
      <c r="AK4" s="183"/>
      <c r="AL4" s="177"/>
      <c r="AM4" s="177"/>
      <c r="AN4" s="177"/>
      <c r="AO4" s="177"/>
      <c r="AP4" s="187"/>
      <c r="AQ4" s="177"/>
    </row>
    <row r="5" spans="1:43" s="23" customFormat="1" ht="29" x14ac:dyDescent="0.35">
      <c r="A5" s="191"/>
      <c r="B5" s="194"/>
      <c r="C5" s="197"/>
      <c r="D5" s="42" t="s">
        <v>58</v>
      </c>
      <c r="E5" s="16" t="s">
        <v>42</v>
      </c>
      <c r="F5" s="17" t="s">
        <v>43</v>
      </c>
      <c r="G5" s="17" t="s">
        <v>43</v>
      </c>
      <c r="H5" s="18" t="s">
        <v>44</v>
      </c>
      <c r="I5" s="35" t="s">
        <v>45</v>
      </c>
      <c r="J5" s="180"/>
      <c r="K5" s="63" t="s">
        <v>59</v>
      </c>
      <c r="L5" s="19" t="s">
        <v>64</v>
      </c>
      <c r="M5" s="19" t="s">
        <v>64</v>
      </c>
      <c r="N5" s="35" t="s">
        <v>71</v>
      </c>
      <c r="O5" s="204"/>
      <c r="P5" s="218"/>
      <c r="Q5" s="167" t="s">
        <v>71</v>
      </c>
      <c r="R5" s="145" t="s">
        <v>90</v>
      </c>
      <c r="S5" s="162" t="s">
        <v>97</v>
      </c>
      <c r="T5" s="162" t="s">
        <v>98</v>
      </c>
      <c r="U5" s="162" t="s">
        <v>90</v>
      </c>
      <c r="V5" s="172" t="s">
        <v>99</v>
      </c>
      <c r="W5" s="187"/>
      <c r="X5" s="187"/>
      <c r="Y5" s="216"/>
      <c r="Z5" s="207"/>
      <c r="AA5" s="210"/>
      <c r="AB5" s="213"/>
      <c r="AC5" s="187"/>
      <c r="AD5" s="187"/>
      <c r="AE5" s="187"/>
      <c r="AF5" s="187"/>
      <c r="AG5" s="187"/>
      <c r="AH5" s="187"/>
      <c r="AI5" s="201"/>
      <c r="AJ5" s="183"/>
      <c r="AK5" s="183"/>
      <c r="AL5" s="177"/>
      <c r="AM5" s="177"/>
      <c r="AN5" s="177"/>
      <c r="AO5" s="177"/>
      <c r="AP5" s="187"/>
      <c r="AQ5" s="177"/>
    </row>
    <row r="6" spans="1:43" s="23" customFormat="1" ht="30" customHeight="1" thickBot="1" x14ac:dyDescent="0.4">
      <c r="A6" s="192"/>
      <c r="B6" s="195"/>
      <c r="C6" s="198"/>
      <c r="D6" s="43" t="s">
        <v>1</v>
      </c>
      <c r="E6" s="20" t="s">
        <v>38</v>
      </c>
      <c r="F6" s="21" t="s">
        <v>38</v>
      </c>
      <c r="G6" s="21" t="s">
        <v>41</v>
      </c>
      <c r="H6" s="21" t="s">
        <v>38</v>
      </c>
      <c r="I6" s="36" t="s">
        <v>39</v>
      </c>
      <c r="J6" s="181"/>
      <c r="K6" s="64" t="s">
        <v>57</v>
      </c>
      <c r="L6" s="22" t="s">
        <v>57</v>
      </c>
      <c r="M6" s="22" t="s">
        <v>57</v>
      </c>
      <c r="N6" s="36" t="s">
        <v>59</v>
      </c>
      <c r="O6" s="205"/>
      <c r="P6" s="219"/>
      <c r="Q6" s="168" t="s">
        <v>71</v>
      </c>
      <c r="R6" s="169" t="s">
        <v>90</v>
      </c>
      <c r="S6" s="163" t="s">
        <v>97</v>
      </c>
      <c r="T6" s="163" t="s">
        <v>97</v>
      </c>
      <c r="U6" s="163" t="s">
        <v>90</v>
      </c>
      <c r="V6" s="173" t="s">
        <v>99</v>
      </c>
      <c r="W6" s="199"/>
      <c r="X6" s="188"/>
      <c r="Y6" s="217"/>
      <c r="Z6" s="208"/>
      <c r="AA6" s="211"/>
      <c r="AB6" s="214"/>
      <c r="AC6" s="199"/>
      <c r="AD6" s="199"/>
      <c r="AE6" s="199"/>
      <c r="AF6" s="199"/>
      <c r="AG6" s="199"/>
      <c r="AH6" s="199"/>
      <c r="AI6" s="202"/>
      <c r="AJ6" s="184"/>
      <c r="AK6" s="184"/>
      <c r="AL6" s="178"/>
      <c r="AM6" s="178"/>
      <c r="AN6" s="178"/>
      <c r="AO6" s="178"/>
      <c r="AP6" s="199"/>
      <c r="AQ6" s="178"/>
    </row>
    <row r="7" spans="1:43" ht="44" thickBot="1" x14ac:dyDescent="0.4">
      <c r="F7" s="32" t="s">
        <v>49</v>
      </c>
      <c r="G7" s="90" t="s">
        <v>63</v>
      </c>
      <c r="L7" s="65" t="s">
        <v>64</v>
      </c>
      <c r="M7" s="65" t="s">
        <v>64</v>
      </c>
    </row>
    <row r="11" spans="1:43" x14ac:dyDescent="0.35">
      <c r="A11" s="189" t="s">
        <v>68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61"/>
      <c r="X11" s="161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</row>
    <row r="13" spans="1:43" x14ac:dyDescent="0.35">
      <c r="A13" s="185"/>
      <c r="B13" s="185"/>
      <c r="C13" s="185"/>
    </row>
    <row r="14" spans="1:43" x14ac:dyDescent="0.35">
      <c r="A14" s="185"/>
      <c r="B14" s="185"/>
      <c r="C14" s="185"/>
    </row>
    <row r="15" spans="1:43" x14ac:dyDescent="0.35">
      <c r="A15" s="185"/>
      <c r="B15" s="185"/>
      <c r="C15" s="185"/>
    </row>
    <row r="16" spans="1:43" x14ac:dyDescent="0.35">
      <c r="A16" s="185"/>
      <c r="B16" s="185"/>
      <c r="C16" s="185"/>
    </row>
  </sheetData>
  <mergeCells count="32">
    <mergeCell ref="AO3:AO6"/>
    <mergeCell ref="AM3:AM6"/>
    <mergeCell ref="AQ3:AQ6"/>
    <mergeCell ref="AN3:AN6"/>
    <mergeCell ref="AP3:AP6"/>
    <mergeCell ref="O2:O6"/>
    <mergeCell ref="Z3:Z6"/>
    <mergeCell ref="AA3:AA6"/>
    <mergeCell ref="AB3:AB6"/>
    <mergeCell ref="Y2:Y6"/>
    <mergeCell ref="P3:P6"/>
    <mergeCell ref="AC3:AC6"/>
    <mergeCell ref="AD3:AD6"/>
    <mergeCell ref="AI2:AI6"/>
    <mergeCell ref="AG3:AG6"/>
    <mergeCell ref="AF3:AF6"/>
    <mergeCell ref="AL3:AL6"/>
    <mergeCell ref="J2:J6"/>
    <mergeCell ref="AK3:AK6"/>
    <mergeCell ref="A16:C16"/>
    <mergeCell ref="X3:X6"/>
    <mergeCell ref="AJ3:AJ6"/>
    <mergeCell ref="A11:V11"/>
    <mergeCell ref="A3:A6"/>
    <mergeCell ref="B3:B6"/>
    <mergeCell ref="C3:C6"/>
    <mergeCell ref="A13:C13"/>
    <mergeCell ref="A14:C14"/>
    <mergeCell ref="A15:C15"/>
    <mergeCell ref="W3:W6"/>
    <mergeCell ref="AH3:AH6"/>
    <mergeCell ref="AE3:AE6"/>
  </mergeCells>
  <phoneticPr fontId="6" type="noConversion"/>
  <conditionalFormatting sqref="A2:W2 AI2:AK2 X2:AH3 AL2:XFD3 Q3:W3 A3:N6 Q4:V6 Y4:Y6 AR4:XFD6 A7:XFD7">
    <cfRule type="containsText" dxfId="3" priority="4" operator="containsText" text="Done">
      <formula>NOT(ISERROR(SEARCH("Done",A2)))</formula>
    </cfRule>
  </conditionalFormatting>
  <conditionalFormatting sqref="AI2:AK2 A2:AH3 AL2:AP3 AQ2:XFD6 A4:V6 Y4:AB6 A7:XFD7">
    <cfRule type="containsText" dxfId="2" priority="1" operator="containsText" text="PROBLEM">
      <formula>NOT(ISERROR(SEARCH("PROBLEM",A2)))</formula>
    </cfRule>
    <cfRule type="containsText" dxfId="1" priority="2" operator="containsText" text="In Progress">
      <formula>NOT(ISERROR(SEARCH("In Progress",A2)))</formula>
    </cfRule>
    <cfRule type="containsText" dxfId="0" priority="3" operator="containsText" text="To Do">
      <formula>NOT(ISERROR(SEARCH("To Do",A2)))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1AE9-AB8A-433E-86A4-F1FB5A26D9D1}">
  <dimension ref="A1:B5"/>
  <sheetViews>
    <sheetView workbookViewId="0">
      <selection activeCell="D17" sqref="D17"/>
    </sheetView>
  </sheetViews>
  <sheetFormatPr defaultRowHeight="14.5" x14ac:dyDescent="0.35"/>
  <cols>
    <col min="1" max="1" width="10.453125" bestFit="1" customWidth="1"/>
    <col min="2" max="2" width="21.1796875" bestFit="1" customWidth="1"/>
  </cols>
  <sheetData>
    <row r="1" spans="1:2" ht="16.5" thickBot="1" x14ac:dyDescent="0.4">
      <c r="A1" s="50" t="s">
        <v>3</v>
      </c>
      <c r="B1" s="50" t="s">
        <v>19</v>
      </c>
    </row>
    <row r="2" spans="1:2" ht="16" x14ac:dyDescent="0.35">
      <c r="A2" s="47" t="s">
        <v>58</v>
      </c>
      <c r="B2" s="1">
        <v>30</v>
      </c>
    </row>
    <row r="3" spans="1:2" ht="16" x14ac:dyDescent="0.35">
      <c r="A3" s="48" t="s">
        <v>2</v>
      </c>
      <c r="B3" s="4">
        <v>10</v>
      </c>
    </row>
    <row r="4" spans="1:2" ht="16" x14ac:dyDescent="0.35">
      <c r="A4" s="48" t="s">
        <v>0</v>
      </c>
      <c r="B4" s="4">
        <v>21</v>
      </c>
    </row>
    <row r="5" spans="1:2" ht="16.5" thickBot="1" x14ac:dyDescent="0.4">
      <c r="A5" s="49" t="s">
        <v>1</v>
      </c>
      <c r="B5" s="14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454-281C-4C9D-AC57-44DB08097F85}">
  <dimension ref="A1:P13"/>
  <sheetViews>
    <sheetView zoomScale="56" zoomScaleNormal="100" workbookViewId="0">
      <selection activeCell="C16" sqref="C16:H22"/>
    </sheetView>
  </sheetViews>
  <sheetFormatPr defaultRowHeight="14.5" x14ac:dyDescent="0.35"/>
  <cols>
    <col min="1" max="1" width="15.453125" customWidth="1"/>
    <col min="2" max="2" width="26.6328125" bestFit="1" customWidth="1"/>
    <col min="3" max="3" width="20.81640625" customWidth="1"/>
    <col min="4" max="4" width="14.08984375" customWidth="1"/>
    <col min="5" max="5" width="12.453125" bestFit="1" customWidth="1"/>
    <col min="6" max="6" width="22.26953125" bestFit="1" customWidth="1"/>
    <col min="7" max="7" width="13.7265625" bestFit="1" customWidth="1"/>
    <col min="8" max="8" width="21.54296875" customWidth="1"/>
    <col min="9" max="10" width="14.36328125" customWidth="1"/>
    <col min="11" max="11" width="13.54296875" customWidth="1"/>
    <col min="12" max="12" width="18.26953125" bestFit="1" customWidth="1"/>
    <col min="13" max="13" width="19.54296875" bestFit="1" customWidth="1"/>
    <col min="14" max="14" width="15.81640625" bestFit="1" customWidth="1"/>
    <col min="15" max="15" width="11.90625" customWidth="1"/>
    <col min="16" max="16" width="11.26953125" customWidth="1"/>
  </cols>
  <sheetData>
    <row r="1" spans="1:16" ht="16.5" thickBot="1" x14ac:dyDescent="0.45">
      <c r="A1" s="125"/>
      <c r="B1" s="126"/>
      <c r="C1" s="220" t="s">
        <v>9</v>
      </c>
      <c r="D1" s="221"/>
      <c r="E1" s="221"/>
      <c r="F1" s="221"/>
      <c r="G1" s="221"/>
      <c r="H1" s="221"/>
      <c r="I1" s="222"/>
      <c r="J1" s="127"/>
      <c r="K1" s="223" t="s">
        <v>10</v>
      </c>
      <c r="L1" s="221"/>
      <c r="M1" s="221"/>
      <c r="N1" s="222"/>
      <c r="O1" s="224" t="s">
        <v>72</v>
      </c>
      <c r="P1" s="225"/>
    </row>
    <row r="2" spans="1:16" ht="16.5" thickBot="1" x14ac:dyDescent="0.4">
      <c r="A2" s="50" t="s">
        <v>3</v>
      </c>
      <c r="B2" s="50" t="s">
        <v>4</v>
      </c>
      <c r="C2" s="51" t="s">
        <v>11</v>
      </c>
      <c r="D2" s="52" t="s">
        <v>13</v>
      </c>
      <c r="E2" s="52" t="s">
        <v>6</v>
      </c>
      <c r="F2" s="52" t="s">
        <v>7</v>
      </c>
      <c r="G2" s="52" t="s">
        <v>8</v>
      </c>
      <c r="H2" s="52" t="s">
        <v>14</v>
      </c>
      <c r="I2" s="53" t="s">
        <v>12</v>
      </c>
      <c r="J2" s="99" t="s">
        <v>67</v>
      </c>
      <c r="K2" s="51" t="s">
        <v>16</v>
      </c>
      <c r="L2" s="52" t="s">
        <v>15</v>
      </c>
      <c r="M2" s="52" t="s">
        <v>17</v>
      </c>
      <c r="N2" s="115" t="s">
        <v>18</v>
      </c>
      <c r="O2" s="128" t="s">
        <v>73</v>
      </c>
      <c r="P2" s="122" t="s">
        <v>74</v>
      </c>
    </row>
    <row r="3" spans="1:16" ht="16.5" thickBot="1" x14ac:dyDescent="0.45">
      <c r="A3" s="47" t="s">
        <v>58</v>
      </c>
      <c r="B3" s="54" t="s">
        <v>5</v>
      </c>
      <c r="C3" s="46">
        <v>4.5999999999999996</v>
      </c>
      <c r="D3" s="111">
        <v>7.4</v>
      </c>
      <c r="E3" s="2">
        <v>159</v>
      </c>
      <c r="F3" s="2">
        <v>4566</v>
      </c>
      <c r="G3" s="2">
        <v>40.71</v>
      </c>
      <c r="H3" s="111">
        <v>73.7</v>
      </c>
      <c r="I3" s="87">
        <v>0</v>
      </c>
      <c r="J3" s="100">
        <v>1350</v>
      </c>
      <c r="K3" s="3">
        <v>59.6</v>
      </c>
      <c r="L3" s="2">
        <v>39.1</v>
      </c>
      <c r="M3" s="2">
        <v>0.5</v>
      </c>
      <c r="N3" s="116">
        <v>0.7</v>
      </c>
      <c r="O3" s="136" t="s">
        <v>75</v>
      </c>
      <c r="P3" s="136" t="s">
        <v>75</v>
      </c>
    </row>
    <row r="4" spans="1:16" ht="16.5" thickBot="1" x14ac:dyDescent="0.45">
      <c r="A4" s="48" t="s">
        <v>2</v>
      </c>
      <c r="B4" s="54" t="s">
        <v>5</v>
      </c>
      <c r="C4" s="46">
        <v>4.5</v>
      </c>
      <c r="D4" s="111">
        <v>11.9</v>
      </c>
      <c r="E4" s="2">
        <v>102</v>
      </c>
      <c r="F4" s="2">
        <v>1439</v>
      </c>
      <c r="G4" s="2">
        <v>40.64</v>
      </c>
      <c r="H4" s="111">
        <v>63.6</v>
      </c>
      <c r="I4" s="87">
        <v>0</v>
      </c>
      <c r="J4" s="100">
        <v>1349</v>
      </c>
      <c r="K4" s="3">
        <v>63.1</v>
      </c>
      <c r="L4" s="2">
        <v>35.6</v>
      </c>
      <c r="M4" s="2">
        <v>0.5</v>
      </c>
      <c r="N4" s="116">
        <v>0.8</v>
      </c>
      <c r="O4" s="129">
        <v>73.400000000000006</v>
      </c>
      <c r="P4" s="130">
        <v>4.6000000000000002E-8</v>
      </c>
    </row>
    <row r="5" spans="1:16" ht="16.5" thickBot="1" x14ac:dyDescent="0.45">
      <c r="A5" s="48" t="s">
        <v>0</v>
      </c>
      <c r="B5" s="54" t="s">
        <v>5</v>
      </c>
      <c r="C5" s="46">
        <v>4.4000000000000004</v>
      </c>
      <c r="D5" s="111">
        <v>1.9</v>
      </c>
      <c r="E5" s="2">
        <v>460</v>
      </c>
      <c r="F5" s="2">
        <v>6797</v>
      </c>
      <c r="G5" s="2">
        <v>40.53</v>
      </c>
      <c r="H5" s="111">
        <v>30.4</v>
      </c>
      <c r="I5" s="87">
        <v>0</v>
      </c>
      <c r="J5" s="100">
        <v>1341</v>
      </c>
      <c r="K5" s="5">
        <v>63.2</v>
      </c>
      <c r="L5" s="6">
        <v>34.9</v>
      </c>
      <c r="M5" s="7">
        <v>1</v>
      </c>
      <c r="N5" s="117">
        <v>1</v>
      </c>
      <c r="O5" s="129" t="s">
        <v>75</v>
      </c>
      <c r="P5" s="129" t="s">
        <v>75</v>
      </c>
    </row>
    <row r="6" spans="1:16" ht="16.5" thickBot="1" x14ac:dyDescent="0.45">
      <c r="A6" s="74" t="s">
        <v>1</v>
      </c>
      <c r="B6" s="54" t="s">
        <v>5</v>
      </c>
      <c r="C6" s="109">
        <v>3.3</v>
      </c>
      <c r="D6" s="112">
        <v>0.9</v>
      </c>
      <c r="E6" s="76">
        <v>669</v>
      </c>
      <c r="F6" s="76">
        <v>11262</v>
      </c>
      <c r="G6" s="76">
        <v>40.520000000000003</v>
      </c>
      <c r="H6" s="112">
        <v>24.7</v>
      </c>
      <c r="I6" s="88">
        <v>0</v>
      </c>
      <c r="J6" s="101">
        <v>1273</v>
      </c>
      <c r="K6" s="77">
        <v>88.8</v>
      </c>
      <c r="L6" s="78">
        <v>4.3</v>
      </c>
      <c r="M6" s="78">
        <v>3.7</v>
      </c>
      <c r="N6" s="118">
        <v>3.2</v>
      </c>
      <c r="O6" s="137" t="s">
        <v>75</v>
      </c>
      <c r="P6" s="137" t="s">
        <v>75</v>
      </c>
    </row>
    <row r="7" spans="1:16" ht="16.5" thickBot="1" x14ac:dyDescent="0.45">
      <c r="A7" s="80" t="s">
        <v>2</v>
      </c>
      <c r="B7" s="54" t="s">
        <v>77</v>
      </c>
      <c r="C7" s="110">
        <v>3.2</v>
      </c>
      <c r="D7" s="113">
        <v>29.1</v>
      </c>
      <c r="E7" s="81">
        <v>30</v>
      </c>
      <c r="F7" s="81">
        <v>620</v>
      </c>
      <c r="G7" s="81">
        <v>40.68</v>
      </c>
      <c r="H7" s="113">
        <v>138.4</v>
      </c>
      <c r="I7" s="89">
        <v>0</v>
      </c>
      <c r="J7" s="102">
        <v>1348</v>
      </c>
      <c r="K7" s="82">
        <v>98</v>
      </c>
      <c r="L7" s="83">
        <v>0.7</v>
      </c>
      <c r="M7" s="83">
        <v>0.7</v>
      </c>
      <c r="N7" s="119">
        <v>0.7</v>
      </c>
      <c r="O7" s="138" t="s">
        <v>75</v>
      </c>
      <c r="P7" s="138" t="s">
        <v>75</v>
      </c>
    </row>
    <row r="8" spans="1:16" ht="16" x14ac:dyDescent="0.35">
      <c r="A8" s="92" t="s">
        <v>58</v>
      </c>
      <c r="B8" s="54" t="s">
        <v>65</v>
      </c>
      <c r="C8" s="174">
        <v>3.1</v>
      </c>
      <c r="D8" s="114">
        <v>12</v>
      </c>
      <c r="E8" s="9">
        <v>75</v>
      </c>
      <c r="F8" s="9">
        <v>531</v>
      </c>
      <c r="G8" s="9">
        <v>40.29</v>
      </c>
      <c r="H8" s="114">
        <v>73.7</v>
      </c>
      <c r="I8" s="87">
        <v>0</v>
      </c>
      <c r="J8" s="100">
        <v>1345</v>
      </c>
      <c r="K8" s="8">
        <v>97.7</v>
      </c>
      <c r="L8" s="9">
        <v>0.7</v>
      </c>
      <c r="M8" s="9">
        <v>0.9</v>
      </c>
      <c r="N8" s="120">
        <v>0.7</v>
      </c>
      <c r="O8" s="4">
        <v>72.599999999999994</v>
      </c>
      <c r="P8" s="123">
        <v>5.4E-8</v>
      </c>
    </row>
    <row r="9" spans="1:16" ht="16" x14ac:dyDescent="0.35">
      <c r="A9" s="93" t="s">
        <v>2</v>
      </c>
      <c r="B9" s="79" t="s">
        <v>66</v>
      </c>
      <c r="C9" s="46">
        <v>3.1</v>
      </c>
      <c r="D9" s="111">
        <v>31.1</v>
      </c>
      <c r="E9" s="2">
        <v>28</v>
      </c>
      <c r="F9" s="2">
        <v>175</v>
      </c>
      <c r="G9" s="2">
        <v>40.42</v>
      </c>
      <c r="H9" s="111">
        <v>138.4</v>
      </c>
      <c r="I9" s="87">
        <v>0</v>
      </c>
      <c r="J9" s="100">
        <v>1348</v>
      </c>
      <c r="K9" s="46">
        <v>98</v>
      </c>
      <c r="L9" s="2">
        <v>0.7</v>
      </c>
      <c r="M9" s="2">
        <v>0.7</v>
      </c>
      <c r="N9" s="116">
        <v>0.7</v>
      </c>
      <c r="O9" s="4">
        <v>73.400000000000006</v>
      </c>
      <c r="P9" s="123">
        <v>4.4999999999999999E-8</v>
      </c>
    </row>
    <row r="10" spans="1:16" ht="16" x14ac:dyDescent="0.4">
      <c r="A10" s="92" t="s">
        <v>0</v>
      </c>
      <c r="B10" s="55" t="s">
        <v>66</v>
      </c>
      <c r="C10" s="174">
        <v>3</v>
      </c>
      <c r="D10" s="114">
        <v>3.5</v>
      </c>
      <c r="E10" s="9">
        <v>175</v>
      </c>
      <c r="F10" s="9">
        <v>2378</v>
      </c>
      <c r="G10" s="9">
        <v>40.36</v>
      </c>
      <c r="H10" s="114">
        <v>30.4</v>
      </c>
      <c r="I10" s="87">
        <v>0</v>
      </c>
      <c r="J10" s="100">
        <v>1309</v>
      </c>
      <c r="K10" s="8">
        <v>95.1</v>
      </c>
      <c r="L10" s="9">
        <v>0.7</v>
      </c>
      <c r="M10" s="9">
        <v>1.6</v>
      </c>
      <c r="N10" s="120">
        <v>2.6</v>
      </c>
      <c r="O10" s="129">
        <v>61.1</v>
      </c>
      <c r="P10" s="130">
        <v>7.7000000000000004E-7</v>
      </c>
    </row>
    <row r="11" spans="1:16" ht="16.5" thickBot="1" x14ac:dyDescent="0.4">
      <c r="A11" s="94" t="s">
        <v>1</v>
      </c>
      <c r="B11" s="56" t="s">
        <v>66</v>
      </c>
      <c r="C11" s="109">
        <v>2.8</v>
      </c>
      <c r="D11" s="112">
        <v>11.1</v>
      </c>
      <c r="E11" s="76">
        <v>446</v>
      </c>
      <c r="F11" s="76">
        <v>5791</v>
      </c>
      <c r="G11" s="86">
        <v>40.299999999999997</v>
      </c>
      <c r="H11" s="112">
        <v>24.7</v>
      </c>
      <c r="I11" s="88">
        <v>0</v>
      </c>
      <c r="J11" s="101">
        <v>1235</v>
      </c>
      <c r="K11" s="75">
        <v>89.5</v>
      </c>
      <c r="L11" s="76">
        <v>0.9</v>
      </c>
      <c r="M11" s="76">
        <v>4.4000000000000004</v>
      </c>
      <c r="N11" s="121">
        <v>5.3</v>
      </c>
      <c r="O11" s="131">
        <v>59.4</v>
      </c>
      <c r="P11" s="132">
        <v>1.1999999999999999E-6</v>
      </c>
    </row>
    <row r="12" spans="1:16" s="152" customFormat="1" ht="16.5" thickBot="1" x14ac:dyDescent="0.4">
      <c r="A12" s="105" t="s">
        <v>2</v>
      </c>
      <c r="B12" s="106" t="s">
        <v>78</v>
      </c>
      <c r="C12" s="175">
        <v>3.1</v>
      </c>
      <c r="D12" s="146">
        <v>31.1</v>
      </c>
      <c r="E12" s="147">
        <v>28</v>
      </c>
      <c r="F12" s="147">
        <v>172</v>
      </c>
      <c r="G12" s="147">
        <v>40.39</v>
      </c>
      <c r="H12" s="146">
        <v>138.4</v>
      </c>
      <c r="I12" s="148">
        <v>0</v>
      </c>
      <c r="J12" s="105">
        <v>1348</v>
      </c>
      <c r="K12" s="142">
        <v>98</v>
      </c>
      <c r="L12" s="107">
        <v>0.7</v>
      </c>
      <c r="M12" s="107">
        <v>0.7</v>
      </c>
      <c r="N12" s="108">
        <v>0.7</v>
      </c>
      <c r="O12" s="105">
        <v>73.400000000000006</v>
      </c>
      <c r="P12" s="124">
        <v>4.4999999999999999E-8</v>
      </c>
    </row>
    <row r="13" spans="1:16" s="97" customFormat="1" ht="16.5" thickBot="1" x14ac:dyDescent="0.45">
      <c r="A13" s="80" t="s">
        <v>2</v>
      </c>
      <c r="B13" s="98" t="s">
        <v>79</v>
      </c>
      <c r="C13" s="150">
        <v>3.1</v>
      </c>
      <c r="D13" s="113">
        <v>31.1</v>
      </c>
      <c r="E13" s="81">
        <v>28</v>
      </c>
      <c r="F13" s="81">
        <v>172</v>
      </c>
      <c r="G13" s="81">
        <v>40.39</v>
      </c>
      <c r="H13" s="113">
        <v>138.4</v>
      </c>
      <c r="I13" s="133">
        <v>0</v>
      </c>
      <c r="J13" s="149">
        <v>1348</v>
      </c>
      <c r="K13" s="150">
        <v>98</v>
      </c>
      <c r="L13" s="81">
        <v>0.7</v>
      </c>
      <c r="M13" s="81">
        <v>0.7</v>
      </c>
      <c r="N13" s="151">
        <v>0.7</v>
      </c>
      <c r="O13" s="134">
        <v>73.400000000000006</v>
      </c>
      <c r="P13" s="135">
        <v>4.4999999999999999E-8</v>
      </c>
    </row>
  </sheetData>
  <autoFilter ref="A2:N11" xr:uid="{56E74454-281C-4C9D-AC57-44DB08097F85}">
    <sortState xmlns:xlrd2="http://schemas.microsoft.com/office/spreadsheetml/2017/richdata2" ref="A3:N12">
      <sortCondition descending="1" ref="C2:C11"/>
    </sortState>
  </autoFilter>
  <mergeCells count="3">
    <mergeCell ref="C1:I1"/>
    <mergeCell ref="K1:N1"/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6B41-4FFE-43C7-BC5D-A6A6D8C40474}">
  <dimension ref="A1:C8"/>
  <sheetViews>
    <sheetView workbookViewId="0">
      <selection activeCell="E7" sqref="E7"/>
    </sheetView>
  </sheetViews>
  <sheetFormatPr defaultRowHeight="14.5" x14ac:dyDescent="0.35"/>
  <cols>
    <col min="1" max="1" width="10.453125" bestFit="1" customWidth="1"/>
    <col min="2" max="2" width="14.7265625" customWidth="1"/>
    <col min="3" max="3" width="12.1796875" customWidth="1"/>
  </cols>
  <sheetData>
    <row r="1" spans="1:3" ht="16.5" thickBot="1" x14ac:dyDescent="0.4">
      <c r="B1" s="224" t="s">
        <v>72</v>
      </c>
      <c r="C1" s="225"/>
    </row>
    <row r="2" spans="1:3" ht="16.5" thickBot="1" x14ac:dyDescent="0.4">
      <c r="A2" s="50" t="s">
        <v>3</v>
      </c>
      <c r="B2" s="128" t="s">
        <v>73</v>
      </c>
      <c r="C2" s="122" t="s">
        <v>74</v>
      </c>
    </row>
    <row r="3" spans="1:3" ht="16" x14ac:dyDescent="0.35">
      <c r="A3" s="92" t="s">
        <v>58</v>
      </c>
      <c r="B3" s="4">
        <v>72.599999999999994</v>
      </c>
      <c r="C3" s="123">
        <v>5.4E-8</v>
      </c>
    </row>
    <row r="4" spans="1:3" ht="16" x14ac:dyDescent="0.35">
      <c r="A4" s="93" t="s">
        <v>2</v>
      </c>
      <c r="B4" s="4">
        <v>73.400000000000006</v>
      </c>
      <c r="C4" s="123">
        <v>4.4999999999999999E-8</v>
      </c>
    </row>
    <row r="5" spans="1:3" ht="16" x14ac:dyDescent="0.4">
      <c r="A5" s="92" t="s">
        <v>0</v>
      </c>
      <c r="B5" s="129">
        <v>61.1</v>
      </c>
      <c r="C5" s="130">
        <v>7.7000000000000004E-7</v>
      </c>
    </row>
    <row r="6" spans="1:3" ht="16.5" thickBot="1" x14ac:dyDescent="0.4">
      <c r="A6" s="94" t="s">
        <v>1</v>
      </c>
      <c r="B6" s="131">
        <v>59.4</v>
      </c>
      <c r="C6" s="132">
        <v>1.1999999999999999E-6</v>
      </c>
    </row>
    <row r="7" spans="1:3" ht="16.5" thickBot="1" x14ac:dyDescent="0.4">
      <c r="A7" s="105" t="s">
        <v>80</v>
      </c>
      <c r="B7" s="105">
        <v>73.400000000000006</v>
      </c>
      <c r="C7" s="124">
        <v>4.4999999999999999E-8</v>
      </c>
    </row>
    <row r="8" spans="1:3" ht="16.5" thickBot="1" x14ac:dyDescent="0.45">
      <c r="A8" s="80" t="s">
        <v>81</v>
      </c>
      <c r="B8" s="134">
        <v>73.400000000000006</v>
      </c>
      <c r="C8" s="135">
        <v>4.4999999999999999E-8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590D-4C17-4D69-A2D8-81E2CFB086C7}">
  <dimension ref="A1:G10"/>
  <sheetViews>
    <sheetView tabSelected="1" zoomScale="90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3" max="3" width="12.1796875" customWidth="1"/>
    <col min="4" max="4" width="13.6328125" bestFit="1" customWidth="1"/>
    <col min="5" max="5" width="15.81640625" bestFit="1" customWidth="1"/>
    <col min="6" max="6" width="12.54296875" bestFit="1" customWidth="1"/>
    <col min="7" max="7" width="53.7265625" customWidth="1"/>
  </cols>
  <sheetData>
    <row r="1" spans="1:7" ht="15" thickBot="1" x14ac:dyDescent="0.4">
      <c r="A1" s="226" t="s">
        <v>20</v>
      </c>
      <c r="B1" s="227"/>
      <c r="C1" s="44" t="s">
        <v>21</v>
      </c>
      <c r="D1" s="45" t="s">
        <v>47</v>
      </c>
      <c r="E1" s="45" t="s">
        <v>22</v>
      </c>
      <c r="F1" s="57" t="s">
        <v>23</v>
      </c>
      <c r="G1" s="37" t="s">
        <v>46</v>
      </c>
    </row>
    <row r="2" spans="1:7" x14ac:dyDescent="0.35">
      <c r="A2" s="228" t="s">
        <v>24</v>
      </c>
      <c r="B2" s="156" t="s">
        <v>58</v>
      </c>
      <c r="C2" s="24">
        <v>15140799</v>
      </c>
      <c r="D2" s="25">
        <v>99.99</v>
      </c>
      <c r="E2" s="26">
        <v>99.99</v>
      </c>
      <c r="F2" s="71">
        <v>36.6</v>
      </c>
      <c r="G2" s="60"/>
    </row>
    <row r="3" spans="1:7" x14ac:dyDescent="0.35">
      <c r="A3" s="229"/>
      <c r="B3" s="157" t="s">
        <v>0</v>
      </c>
      <c r="C3" s="27">
        <v>14564550</v>
      </c>
      <c r="D3" s="28">
        <v>99.99</v>
      </c>
      <c r="E3" s="29">
        <v>99.99</v>
      </c>
      <c r="F3" s="139">
        <v>38.6</v>
      </c>
      <c r="G3" s="58"/>
    </row>
    <row r="4" spans="1:7" x14ac:dyDescent="0.35">
      <c r="A4" s="229"/>
      <c r="B4" s="157" t="s">
        <v>25</v>
      </c>
      <c r="C4" s="27">
        <v>15207756</v>
      </c>
      <c r="D4" s="28">
        <v>99.99</v>
      </c>
      <c r="E4" s="29">
        <v>99.99</v>
      </c>
      <c r="F4" s="104">
        <v>38</v>
      </c>
      <c r="G4" s="58"/>
    </row>
    <row r="5" spans="1:7" ht="58.5" thickBot="1" x14ac:dyDescent="0.4">
      <c r="A5" s="230"/>
      <c r="B5" s="158" t="s">
        <v>1</v>
      </c>
      <c r="C5" s="30">
        <v>18106574</v>
      </c>
      <c r="D5" s="31">
        <v>99.91</v>
      </c>
      <c r="E5" s="140">
        <v>99.85</v>
      </c>
      <c r="F5" s="72">
        <v>50.9</v>
      </c>
      <c r="G5" s="61" t="s">
        <v>48</v>
      </c>
    </row>
    <row r="6" spans="1:7" x14ac:dyDescent="0.35">
      <c r="A6" s="231" t="s">
        <v>61</v>
      </c>
      <c r="B6" s="156" t="s">
        <v>58</v>
      </c>
      <c r="C6" s="95">
        <v>16974795</v>
      </c>
      <c r="D6" s="96">
        <v>99.98</v>
      </c>
      <c r="E6" s="96">
        <v>99.97</v>
      </c>
      <c r="F6" s="71">
        <v>54.5</v>
      </c>
      <c r="G6" s="60"/>
    </row>
    <row r="7" spans="1:7" x14ac:dyDescent="0.35">
      <c r="A7" s="229"/>
      <c r="B7" s="157" t="s">
        <v>0</v>
      </c>
      <c r="C7" s="27">
        <v>18916512</v>
      </c>
      <c r="D7" s="28">
        <v>99.92</v>
      </c>
      <c r="E7" s="28">
        <v>99.86</v>
      </c>
      <c r="F7" s="104">
        <v>56</v>
      </c>
      <c r="G7" s="58"/>
    </row>
    <row r="8" spans="1:7" x14ac:dyDescent="0.35">
      <c r="A8" s="229"/>
      <c r="B8" s="155" t="s">
        <v>84</v>
      </c>
      <c r="C8" s="91">
        <v>16910774</v>
      </c>
      <c r="D8" s="28">
        <v>99.98</v>
      </c>
      <c r="E8" s="28">
        <v>99.97</v>
      </c>
      <c r="F8" s="84">
        <v>53.9</v>
      </c>
      <c r="G8" s="85"/>
    </row>
    <row r="9" spans="1:7" ht="15" thickBot="1" x14ac:dyDescent="0.4">
      <c r="A9" s="230"/>
      <c r="B9" s="158" t="s">
        <v>1</v>
      </c>
      <c r="C9" s="30">
        <v>21244397</v>
      </c>
      <c r="D9" s="31">
        <v>99.89</v>
      </c>
      <c r="E9" s="31">
        <v>99.79</v>
      </c>
      <c r="F9" s="72">
        <v>58.2</v>
      </c>
      <c r="G9" s="59"/>
    </row>
    <row r="10" spans="1:7" ht="100" customHeight="1" thickBot="1" x14ac:dyDescent="0.4">
      <c r="A10" s="73" t="s">
        <v>62</v>
      </c>
      <c r="B10" s="159" t="s">
        <v>25</v>
      </c>
      <c r="C10" s="68">
        <v>16658828</v>
      </c>
      <c r="D10" s="69">
        <v>99.98</v>
      </c>
      <c r="E10" s="70">
        <v>99.98</v>
      </c>
      <c r="F10" s="70">
        <v>52.1</v>
      </c>
      <c r="G10" s="67" t="s">
        <v>50</v>
      </c>
    </row>
  </sheetData>
  <mergeCells count="3">
    <mergeCell ref="A1:B1"/>
    <mergeCell ref="A2:A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Progress</vt:lpstr>
      <vt:lpstr>Run_Time</vt:lpstr>
      <vt:lpstr>BUSCO_QUAST</vt:lpstr>
      <vt:lpstr>Merqury</vt:lpstr>
      <vt:lpstr>Mapping_Depth_Samtools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2024-12-18T10:15:39Z</dcterms:created>
  <dcterms:modified xsi:type="dcterms:W3CDTF">2025-04-06T07:49:37Z</dcterms:modified>
</cp:coreProperties>
</file>