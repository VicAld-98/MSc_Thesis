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s\MSc_Bioinformatics\Leaf_assembly\HiFiASM\RepeatModeler\"/>
    </mc:Choice>
  </mc:AlternateContent>
  <xr:revisionPtr revIDLastSave="0" documentId="8_{5FC93D73-29AA-41BD-91EB-616C40CD199A}" xr6:coauthVersionLast="47" xr6:coauthVersionMax="47" xr10:uidLastSave="{00000000-0000-0000-0000-000000000000}"/>
  <bookViews>
    <workbookView xWindow="-110" yWindow="-110" windowWidth="19420" windowHeight="10300" xr2:uid="{01C50F7D-16D6-4C90-A02F-809974FA2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G14" i="1"/>
  <c r="H14" i="1" s="1"/>
  <c r="F14" i="1"/>
  <c r="E14" i="1"/>
  <c r="G10" i="1"/>
  <c r="H10" i="1" s="1"/>
  <c r="F10" i="1"/>
  <c r="E10" i="1"/>
  <c r="H4" i="1"/>
  <c r="G22" i="1" s="1"/>
  <c r="F4" i="1"/>
  <c r="E4" i="1"/>
  <c r="E22" i="1" s="1"/>
  <c r="E26" i="1" s="1"/>
  <c r="G27" i="1" l="1"/>
</calcChain>
</file>

<file path=xl/sharedStrings.xml><?xml version="1.0" encoding="utf-8"?>
<sst xmlns="http://schemas.openxmlformats.org/spreadsheetml/2006/main" count="36" uniqueCount="35">
  <si>
    <t>FINAL_GENOME_HIFIASM3.fasta RepeatMasker</t>
  </si>
  <si>
    <t>Repeat Type</t>
  </si>
  <si>
    <t>Sub-type</t>
  </si>
  <si>
    <t># Repeats</t>
  </si>
  <si>
    <t>Total Length of Repeats (bp)</t>
  </si>
  <si>
    <t>Percentage</t>
  </si>
  <si>
    <t>Total Repeat Perecentage</t>
  </si>
  <si>
    <t>RETROELEMENTS</t>
  </si>
  <si>
    <t>LINEs</t>
  </si>
  <si>
    <t>UNCLASSIEIED</t>
  </si>
  <si>
    <t>L2/CR1/Rex</t>
  </si>
  <si>
    <t>R1/LOA/Jockey</t>
  </si>
  <si>
    <t>R2/R4/NeSL</t>
  </si>
  <si>
    <t>RTE/Bov-B</t>
  </si>
  <si>
    <t>L1/CIN4</t>
  </si>
  <si>
    <t>LTR</t>
  </si>
  <si>
    <t>UNCLASSIFIED</t>
  </si>
  <si>
    <t>BEL/Pao</t>
  </si>
  <si>
    <t>TY1/Copia</t>
  </si>
  <si>
    <t>Gypsy/DIRS1</t>
  </si>
  <si>
    <t>DNA transposons</t>
  </si>
  <si>
    <t>Other</t>
  </si>
  <si>
    <t>hobo-Activator</t>
  </si>
  <si>
    <t>Tc1-IS630-Pogo</t>
  </si>
  <si>
    <t>PiggyBac</t>
  </si>
  <si>
    <t>Tourist/Harbinger</t>
  </si>
  <si>
    <t>Unclassified</t>
  </si>
  <si>
    <t>Rolling-Circles</t>
  </si>
  <si>
    <t>TOTAL INTERSPERSED REPEATS</t>
  </si>
  <si>
    <t>Satellites</t>
  </si>
  <si>
    <t>Simple Repeats</t>
  </si>
  <si>
    <t>Low Complexity</t>
  </si>
  <si>
    <t>TOTAL TANDEM REPEATS</t>
  </si>
  <si>
    <t>TOTAL GENOME REPEAT</t>
  </si>
  <si>
    <t>&lt;0.01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</si>
</sst>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textRotation="90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 textRotation="90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textRotation="90"/>
    </xf>
    <xf numFmtId="2" fontId="1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4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0" fontId="1" fillId="5" borderId="29" xfId="0" applyFont="1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2" fontId="1" fillId="0" borderId="38" xfId="0" applyNumberFormat="1" applyFont="1" applyBorder="1" applyAlignment="1">
      <alignment horizontal="center"/>
    </xf>
    <xf numFmtId="2" fontId="1" fillId="0" borderId="31" xfId="0" applyNumberFormat="1" applyFont="1" applyBorder="1" applyAlignment="1">
      <alignment horizontal="center"/>
    </xf>
    <xf numFmtId="0" fontId="1" fillId="5" borderId="39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2" fontId="1" fillId="5" borderId="39" xfId="0" applyNumberFormat="1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2" fontId="1" fillId="6" borderId="29" xfId="0" applyNumberFormat="1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3B6D-045D-4C1D-9432-9B2FED573F87}">
  <dimension ref="B1:H27"/>
  <sheetViews>
    <sheetView tabSelected="1" workbookViewId="0">
      <selection activeCell="M24" sqref="M24"/>
    </sheetView>
  </sheetViews>
  <sheetFormatPr defaultRowHeight="14.5" x14ac:dyDescent="0.35"/>
  <cols>
    <col min="1" max="1" width="8.7265625" customWidth="1"/>
    <col min="2" max="2" width="10.81640625" customWidth="1"/>
    <col min="3" max="3" width="14.90625" bestFit="1" customWidth="1"/>
    <col min="4" max="4" width="15" bestFit="1" customWidth="1"/>
    <col min="5" max="5" width="9" bestFit="1" customWidth="1"/>
    <col min="6" max="6" width="10.81640625" bestFit="1" customWidth="1"/>
    <col min="7" max="7" width="10.1796875" bestFit="1" customWidth="1"/>
    <col min="8" max="8" width="8.26953125" bestFit="1" customWidth="1"/>
  </cols>
  <sheetData>
    <row r="1" spans="2:8" x14ac:dyDescent="0.35">
      <c r="B1" s="1" t="s">
        <v>0</v>
      </c>
      <c r="C1" s="1"/>
      <c r="D1" s="1"/>
    </row>
    <row r="2" spans="2:8" ht="15" thickBot="1" x14ac:dyDescent="0.4"/>
    <row r="3" spans="2:8" ht="58.5" thickBot="1" x14ac:dyDescent="0.4">
      <c r="C3" s="2" t="s">
        <v>1</v>
      </c>
      <c r="D3" s="3" t="s">
        <v>2</v>
      </c>
      <c r="E3" s="4" t="s">
        <v>3</v>
      </c>
      <c r="F3" s="5" t="s">
        <v>4</v>
      </c>
      <c r="G3" s="6" t="s">
        <v>5</v>
      </c>
      <c r="H3" s="7" t="s">
        <v>6</v>
      </c>
    </row>
    <row r="4" spans="2:8" x14ac:dyDescent="0.35">
      <c r="B4" s="8" t="s">
        <v>7</v>
      </c>
      <c r="C4" s="9" t="s">
        <v>8</v>
      </c>
      <c r="D4" s="10" t="s">
        <v>9</v>
      </c>
      <c r="E4" s="11">
        <f>90028-SUM(E5:E9)</f>
        <v>48028</v>
      </c>
      <c r="F4" s="12">
        <f>64280388-SUM(F5:F9)</f>
        <v>32369584</v>
      </c>
      <c r="G4" s="13">
        <v>1.04</v>
      </c>
      <c r="H4" s="14">
        <f>SUM(G4:G9)</f>
        <v>2.06</v>
      </c>
    </row>
    <row r="5" spans="2:8" x14ac:dyDescent="0.35">
      <c r="B5" s="15"/>
      <c r="C5" s="16"/>
      <c r="D5" s="17" t="s">
        <v>10</v>
      </c>
      <c r="E5" s="18">
        <v>10727</v>
      </c>
      <c r="F5" s="19">
        <v>4355233</v>
      </c>
      <c r="G5" s="20">
        <v>0.14000000000000001</v>
      </c>
      <c r="H5" s="21"/>
    </row>
    <row r="6" spans="2:8" x14ac:dyDescent="0.35">
      <c r="B6" s="15"/>
      <c r="C6" s="16"/>
      <c r="D6" s="17" t="s">
        <v>11</v>
      </c>
      <c r="E6" s="18">
        <v>16257</v>
      </c>
      <c r="F6" s="19">
        <v>19423410</v>
      </c>
      <c r="G6" s="20">
        <v>0.62</v>
      </c>
      <c r="H6" s="21"/>
    </row>
    <row r="7" spans="2:8" x14ac:dyDescent="0.35">
      <c r="B7" s="15"/>
      <c r="C7" s="16"/>
      <c r="D7" s="17" t="s">
        <v>12</v>
      </c>
      <c r="E7" s="18">
        <v>267</v>
      </c>
      <c r="F7" s="19">
        <v>367298</v>
      </c>
      <c r="G7" s="20">
        <v>0.01</v>
      </c>
      <c r="H7" s="21"/>
    </row>
    <row r="8" spans="2:8" x14ac:dyDescent="0.35">
      <c r="B8" s="15"/>
      <c r="C8" s="16"/>
      <c r="D8" s="17" t="s">
        <v>13</v>
      </c>
      <c r="E8" s="18">
        <v>11216</v>
      </c>
      <c r="F8" s="19">
        <v>4940618</v>
      </c>
      <c r="G8" s="22">
        <v>0.16</v>
      </c>
      <c r="H8" s="21"/>
    </row>
    <row r="9" spans="2:8" ht="15" thickBot="1" x14ac:dyDescent="0.4">
      <c r="B9" s="15"/>
      <c r="C9" s="23"/>
      <c r="D9" s="24" t="s">
        <v>14</v>
      </c>
      <c r="E9" s="25">
        <v>3533</v>
      </c>
      <c r="F9" s="26">
        <v>2824245</v>
      </c>
      <c r="G9" s="27">
        <v>0.09</v>
      </c>
      <c r="H9" s="28"/>
    </row>
    <row r="10" spans="2:8" x14ac:dyDescent="0.35">
      <c r="B10" s="15"/>
      <c r="C10" s="29" t="s">
        <v>15</v>
      </c>
      <c r="D10" s="10" t="s">
        <v>16</v>
      </c>
      <c r="E10" s="11">
        <f>817910-SUM(E11:E13)</f>
        <v>265657</v>
      </c>
      <c r="F10" s="30">
        <f>513450246-SUM(F11:F13)</f>
        <v>112965173</v>
      </c>
      <c r="G10" s="31">
        <f>16.46-SUM(G11:G13)</f>
        <v>3.620000000000001</v>
      </c>
      <c r="H10" s="32">
        <f>SUM(G10:G13)</f>
        <v>16.46</v>
      </c>
    </row>
    <row r="11" spans="2:8" x14ac:dyDescent="0.35">
      <c r="B11" s="15"/>
      <c r="C11" s="33"/>
      <c r="D11" s="17" t="s">
        <v>17</v>
      </c>
      <c r="E11" s="18">
        <v>72793</v>
      </c>
      <c r="F11" s="19">
        <v>53071414</v>
      </c>
      <c r="G11" s="22">
        <v>1.7</v>
      </c>
      <c r="H11" s="21"/>
    </row>
    <row r="12" spans="2:8" x14ac:dyDescent="0.35">
      <c r="B12" s="15"/>
      <c r="C12" s="33"/>
      <c r="D12" s="17" t="s">
        <v>18</v>
      </c>
      <c r="E12" s="18">
        <v>156886</v>
      </c>
      <c r="F12" s="19">
        <v>101151197</v>
      </c>
      <c r="G12" s="20">
        <v>3.24</v>
      </c>
      <c r="H12" s="21"/>
    </row>
    <row r="13" spans="2:8" ht="15" thickBot="1" x14ac:dyDescent="0.4">
      <c r="B13" s="34"/>
      <c r="C13" s="33"/>
      <c r="D13" s="24" t="s">
        <v>19</v>
      </c>
      <c r="E13" s="25">
        <v>322574</v>
      </c>
      <c r="F13" s="26">
        <v>246262462</v>
      </c>
      <c r="G13" s="35">
        <v>7.9</v>
      </c>
      <c r="H13" s="28"/>
    </row>
    <row r="14" spans="2:8" x14ac:dyDescent="0.35">
      <c r="B14" s="36"/>
      <c r="C14" s="9" t="s">
        <v>20</v>
      </c>
      <c r="D14" s="37" t="s">
        <v>16</v>
      </c>
      <c r="E14" s="38">
        <f>474836-SUM(E15:E19)</f>
        <v>194859</v>
      </c>
      <c r="F14" s="30">
        <f>266857614-SUM(F15:F19)</f>
        <v>100521423</v>
      </c>
      <c r="G14" s="31">
        <f>8.56-SUM(G15:G19)</f>
        <v>3.2300000000000013</v>
      </c>
      <c r="H14" s="39">
        <f>SUM(G14:G19)</f>
        <v>8.5599999999999987</v>
      </c>
    </row>
    <row r="15" spans="2:8" x14ac:dyDescent="0.35">
      <c r="C15" s="16"/>
      <c r="D15" s="40" t="s">
        <v>21</v>
      </c>
      <c r="E15" s="41">
        <v>7454</v>
      </c>
      <c r="F15" s="19">
        <v>5294914</v>
      </c>
      <c r="G15" s="22">
        <v>0.17</v>
      </c>
      <c r="H15" s="42"/>
    </row>
    <row r="16" spans="2:8" x14ac:dyDescent="0.35">
      <c r="C16" s="16"/>
      <c r="D16" s="43" t="s">
        <v>22</v>
      </c>
      <c r="E16" s="41">
        <v>38869</v>
      </c>
      <c r="F16" s="19">
        <v>23806153</v>
      </c>
      <c r="G16" s="22">
        <v>0.76</v>
      </c>
      <c r="H16" s="42"/>
    </row>
    <row r="17" spans="3:8" x14ac:dyDescent="0.35">
      <c r="C17" s="16"/>
      <c r="D17" s="43" t="s">
        <v>23</v>
      </c>
      <c r="E17" s="41">
        <v>227634</v>
      </c>
      <c r="F17" s="19">
        <v>133076398</v>
      </c>
      <c r="G17" s="22">
        <v>4.2699999999999996</v>
      </c>
      <c r="H17" s="42"/>
    </row>
    <row r="18" spans="3:8" x14ac:dyDescent="0.35">
      <c r="C18" s="16"/>
      <c r="D18" s="43" t="s">
        <v>24</v>
      </c>
      <c r="E18" s="41">
        <v>3680</v>
      </c>
      <c r="F18" s="19">
        <v>2776670</v>
      </c>
      <c r="G18" s="22">
        <v>0.09</v>
      </c>
      <c r="H18" s="42"/>
    </row>
    <row r="19" spans="3:8" ht="15" thickBot="1" x14ac:dyDescent="0.4">
      <c r="C19" s="23"/>
      <c r="D19" s="44" t="s">
        <v>25</v>
      </c>
      <c r="E19" s="45">
        <v>2340</v>
      </c>
      <c r="F19" s="46">
        <v>1382056</v>
      </c>
      <c r="G19" s="47">
        <v>0.04</v>
      </c>
      <c r="H19" s="48"/>
    </row>
    <row r="20" spans="3:8" ht="15" thickBot="1" x14ac:dyDescent="0.4">
      <c r="C20" s="49" t="s">
        <v>26</v>
      </c>
      <c r="D20" s="50"/>
      <c r="E20" s="51">
        <v>2644760</v>
      </c>
      <c r="F20" s="52">
        <v>806011963</v>
      </c>
      <c r="G20" s="53">
        <v>25.84</v>
      </c>
      <c r="H20" s="54"/>
    </row>
    <row r="21" spans="3:8" ht="15" thickBot="1" x14ac:dyDescent="0.4">
      <c r="C21" s="55" t="s">
        <v>27</v>
      </c>
      <c r="D21" s="56"/>
      <c r="E21" s="57">
        <v>52288</v>
      </c>
      <c r="F21" s="58">
        <v>28212739</v>
      </c>
      <c r="G21" s="59">
        <v>0.9</v>
      </c>
      <c r="H21" s="39"/>
    </row>
    <row r="22" spans="3:8" ht="15" thickBot="1" x14ac:dyDescent="0.4">
      <c r="C22" s="60" t="s">
        <v>28</v>
      </c>
      <c r="D22" s="61"/>
      <c r="E22" s="62">
        <f>SUM(E4:E20)</f>
        <v>4027534</v>
      </c>
      <c r="F22" s="63">
        <v>1650600211</v>
      </c>
      <c r="G22" s="64">
        <f>SUM(H4:H19,G20:G21)</f>
        <v>53.82</v>
      </c>
      <c r="H22" s="65"/>
    </row>
    <row r="23" spans="3:8" ht="15" thickBot="1" x14ac:dyDescent="0.4">
      <c r="C23" s="66" t="s">
        <v>29</v>
      </c>
      <c r="D23" s="67"/>
      <c r="E23" s="57">
        <v>1</v>
      </c>
      <c r="F23" s="68">
        <v>357</v>
      </c>
      <c r="G23" s="69" t="s">
        <v>34</v>
      </c>
      <c r="H23" s="70"/>
    </row>
    <row r="24" spans="3:8" ht="15" thickBot="1" x14ac:dyDescent="0.4">
      <c r="C24" s="66" t="s">
        <v>30</v>
      </c>
      <c r="D24" s="67"/>
      <c r="E24" s="57">
        <v>365288</v>
      </c>
      <c r="F24" s="68">
        <v>24198201</v>
      </c>
      <c r="G24" s="69">
        <v>0.78</v>
      </c>
      <c r="H24" s="70"/>
    </row>
    <row r="25" spans="3:8" ht="15" thickBot="1" x14ac:dyDescent="0.4">
      <c r="C25" s="71" t="s">
        <v>31</v>
      </c>
      <c r="D25" s="72"/>
      <c r="E25" s="57">
        <v>45142</v>
      </c>
      <c r="F25" s="68">
        <v>3046747</v>
      </c>
      <c r="G25" s="73">
        <v>0.1</v>
      </c>
      <c r="H25" s="74"/>
    </row>
    <row r="26" spans="3:8" ht="15" thickBot="1" x14ac:dyDescent="0.4">
      <c r="C26" s="64" t="s">
        <v>32</v>
      </c>
      <c r="D26" s="75"/>
      <c r="E26" s="76">
        <f>SUM(E21:E25)</f>
        <v>4490253</v>
      </c>
      <c r="F26" s="77">
        <f>SUM(F21:F25)</f>
        <v>1706058255</v>
      </c>
      <c r="G26" s="78">
        <f>SUM(G23:H25)</f>
        <v>0.88</v>
      </c>
      <c r="H26" s="79"/>
    </row>
    <row r="27" spans="3:8" ht="15" thickBot="1" x14ac:dyDescent="0.4">
      <c r="C27" s="80" t="s">
        <v>33</v>
      </c>
      <c r="D27" s="81"/>
      <c r="E27" s="81"/>
      <c r="F27" s="82"/>
      <c r="G27" s="83">
        <f>SUM(G22,G26)</f>
        <v>54.7</v>
      </c>
      <c r="H27" s="84"/>
    </row>
  </sheetData>
  <mergeCells count="24">
    <mergeCell ref="C25:D25"/>
    <mergeCell ref="G25:H25"/>
    <mergeCell ref="C26:D26"/>
    <mergeCell ref="G26:H26"/>
    <mergeCell ref="C27:F27"/>
    <mergeCell ref="G27:H27"/>
    <mergeCell ref="C22:D22"/>
    <mergeCell ref="G22:H22"/>
    <mergeCell ref="C23:D23"/>
    <mergeCell ref="G23:H23"/>
    <mergeCell ref="C24:D24"/>
    <mergeCell ref="G24:H24"/>
    <mergeCell ref="C14:C19"/>
    <mergeCell ref="H14:H19"/>
    <mergeCell ref="C20:D20"/>
    <mergeCell ref="G20:H20"/>
    <mergeCell ref="C21:D21"/>
    <mergeCell ref="G21:H21"/>
    <mergeCell ref="B1:D1"/>
    <mergeCell ref="B4:B13"/>
    <mergeCell ref="C4:C9"/>
    <mergeCell ref="H4:H9"/>
    <mergeCell ref="C10:C13"/>
    <mergeCell ref="H10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2025-04-06T07:39:18Z</dcterms:created>
  <dcterms:modified xsi:type="dcterms:W3CDTF">2025-04-06T07:41:20Z</dcterms:modified>
</cp:coreProperties>
</file>