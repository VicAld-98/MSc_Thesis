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OneDrive\Documents\MSc_Bioinformatics\Leaf_assembly\Assemblers\HiFiASM\MitoHiFi\"/>
    </mc:Choice>
  </mc:AlternateContent>
  <xr:revisionPtr revIDLastSave="0" documentId="13_ncr:1_{8491C5D0-903C-4248-A45E-22BC05000310}" xr6:coauthVersionLast="47" xr6:coauthVersionMax="47" xr10:uidLastSave="{00000000-0000-0000-0000-000000000000}"/>
  <bookViews>
    <workbookView xWindow="-110" yWindow="-110" windowWidth="19420" windowHeight="10300" xr2:uid="{F363E655-BCD7-4CF3-9D27-01BBC1336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G7" i="1"/>
  <c r="E14" i="1"/>
  <c r="E3" i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<sst xmlns="http://schemas.openxmlformats.org/spreadsheetml/2006/main" count="19" uniqueCount="19">
  <si>
    <t>PCG</t>
  </si>
  <si>
    <t>A</t>
  </si>
  <si>
    <t>T</t>
  </si>
  <si>
    <t>Content</t>
  </si>
  <si>
    <t>ND2</t>
  </si>
  <si>
    <t>Total Length</t>
  </si>
  <si>
    <t>COX1</t>
  </si>
  <si>
    <t>COX2</t>
  </si>
  <si>
    <t>ATP8</t>
  </si>
  <si>
    <t>ATP6</t>
  </si>
  <si>
    <t>COX3</t>
  </si>
  <si>
    <t>ND3</t>
  </si>
  <si>
    <t>ND5</t>
  </si>
  <si>
    <t>ND4</t>
  </si>
  <si>
    <t>ND4L</t>
  </si>
  <si>
    <t>ND6</t>
  </si>
  <si>
    <t>CYTB</t>
  </si>
  <si>
    <t>ND1</t>
  </si>
  <si>
    <t>Average AT content in PCGs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</si>
</sst>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FEDE-42A4-4F03-A75F-16478854F1CA}">
  <dimension ref="A1:G16"/>
  <sheetViews>
    <sheetView tabSelected="1" workbookViewId="0">
      <selection activeCell="D16" sqref="D16"/>
    </sheetView>
  </sheetViews>
  <sheetFormatPr defaultRowHeight="14.5" x14ac:dyDescent="0.35"/>
  <cols>
    <col min="4" max="4" width="10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5</v>
      </c>
      <c r="E1" t="s">
        <v>3</v>
      </c>
    </row>
    <row r="2" spans="1:7" x14ac:dyDescent="0.35">
      <c r="A2" t="s">
        <v>4</v>
      </c>
      <c r="B2">
        <v>474</v>
      </c>
      <c r="C2">
        <v>347</v>
      </c>
      <c r="D2">
        <v>1018</v>
      </c>
      <c r="E2">
        <f>((C2+B2)/D2)*100</f>
        <v>80.648330058939095</v>
      </c>
    </row>
    <row r="3" spans="1:7" x14ac:dyDescent="0.35">
      <c r="A3" t="s">
        <v>6</v>
      </c>
      <c r="B3">
        <v>535</v>
      </c>
      <c r="C3">
        <v>524</v>
      </c>
      <c r="D3">
        <v>1540</v>
      </c>
      <c r="E3">
        <f t="shared" ref="E3:E14" si="0">((C3+B3)/D3)*100</f>
        <v>68.766233766233768</v>
      </c>
    </row>
    <row r="4" spans="1:7" x14ac:dyDescent="0.35">
      <c r="A4" t="s">
        <v>7</v>
      </c>
      <c r="B4">
        <v>279</v>
      </c>
      <c r="C4">
        <v>203</v>
      </c>
      <c r="D4">
        <v>670</v>
      </c>
      <c r="E4">
        <f t="shared" si="0"/>
        <v>71.940298507462686</v>
      </c>
    </row>
    <row r="5" spans="1:7" x14ac:dyDescent="0.35">
      <c r="A5" t="s">
        <v>8</v>
      </c>
      <c r="B5">
        <v>56</v>
      </c>
      <c r="C5">
        <v>36</v>
      </c>
      <c r="D5">
        <v>112</v>
      </c>
      <c r="E5">
        <f t="shared" si="0"/>
        <v>82.142857142857139</v>
      </c>
    </row>
    <row r="6" spans="1:7" x14ac:dyDescent="0.35">
      <c r="A6" t="s">
        <v>9</v>
      </c>
      <c r="B6">
        <v>281</v>
      </c>
      <c r="C6">
        <v>225</v>
      </c>
      <c r="D6">
        <v>676</v>
      </c>
      <c r="E6">
        <f t="shared" si="0"/>
        <v>74.852071005917168</v>
      </c>
      <c r="G6" t="s">
        <v>18</v>
      </c>
    </row>
    <row r="7" spans="1:7" x14ac:dyDescent="0.35">
      <c r="A7" t="s">
        <v>10</v>
      </c>
      <c r="B7">
        <v>309</v>
      </c>
      <c r="C7">
        <v>263</v>
      </c>
      <c r="D7">
        <v>784</v>
      </c>
      <c r="E7">
        <f t="shared" si="0"/>
        <v>72.959183673469383</v>
      </c>
      <c r="G7">
        <f>AVERAGE(E2:E14)</f>
        <v>75.76199840155779</v>
      </c>
    </row>
    <row r="8" spans="1:7" x14ac:dyDescent="0.35">
      <c r="A8" t="s">
        <v>11</v>
      </c>
      <c r="B8">
        <v>128</v>
      </c>
      <c r="C8">
        <v>107</v>
      </c>
      <c r="D8">
        <v>307</v>
      </c>
      <c r="E8">
        <f t="shared" si="0"/>
        <v>76.54723127035831</v>
      </c>
    </row>
    <row r="9" spans="1:7" x14ac:dyDescent="0.35">
      <c r="A9" t="s">
        <v>12</v>
      </c>
      <c r="B9">
        <v>417</v>
      </c>
      <c r="C9">
        <v>864</v>
      </c>
      <c r="D9">
        <v>1672</v>
      </c>
      <c r="E9">
        <f t="shared" si="0"/>
        <v>76.614832535885171</v>
      </c>
    </row>
    <row r="10" spans="1:7" x14ac:dyDescent="0.35">
      <c r="A10" t="s">
        <v>13</v>
      </c>
      <c r="B10">
        <v>299</v>
      </c>
      <c r="C10">
        <v>722</v>
      </c>
      <c r="D10">
        <v>1333</v>
      </c>
      <c r="E10">
        <f t="shared" si="0"/>
        <v>76.594148537134288</v>
      </c>
    </row>
    <row r="11" spans="1:7" x14ac:dyDescent="0.35">
      <c r="A11" t="s">
        <v>14</v>
      </c>
      <c r="B11">
        <v>58</v>
      </c>
      <c r="C11">
        <v>167</v>
      </c>
      <c r="D11">
        <v>286</v>
      </c>
      <c r="E11">
        <f t="shared" si="0"/>
        <v>78.671328671328666</v>
      </c>
    </row>
    <row r="12" spans="1:7" x14ac:dyDescent="0.35">
      <c r="A12" t="s">
        <v>15</v>
      </c>
      <c r="B12">
        <v>226</v>
      </c>
      <c r="C12">
        <v>156</v>
      </c>
      <c r="D12">
        <v>484</v>
      </c>
      <c r="E12">
        <f t="shared" si="0"/>
        <v>78.925619834710744</v>
      </c>
    </row>
    <row r="13" spans="1:7" x14ac:dyDescent="0.35">
      <c r="A13" t="s">
        <v>16</v>
      </c>
      <c r="B13">
        <v>444</v>
      </c>
      <c r="C13">
        <v>352</v>
      </c>
      <c r="D13">
        <v>1135</v>
      </c>
      <c r="E13">
        <f t="shared" si="0"/>
        <v>70.132158590308364</v>
      </c>
    </row>
    <row r="14" spans="1:7" x14ac:dyDescent="0.35">
      <c r="A14" t="s">
        <v>17</v>
      </c>
      <c r="B14">
        <v>207</v>
      </c>
      <c r="C14">
        <v>529</v>
      </c>
      <c r="D14">
        <v>967</v>
      </c>
      <c r="E14">
        <f t="shared" si="0"/>
        <v>76.111685625646331</v>
      </c>
    </row>
    <row r="16" spans="1:7" x14ac:dyDescent="0.35">
      <c r="D16">
        <f>SUM(D2:D14)</f>
        <v>10984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Aldcroft</dc:creator>
  <cp:lastModifiedBy>Victoria Aldcroft</cp:lastModifiedBy>
  <dcterms:created xsi:type="dcterms:W3CDTF">2025-03-24T20:32:30Z</dcterms:created>
  <dcterms:modified xsi:type="dcterms:W3CDTF">2025-04-07T09:58:09Z</dcterms:modified>
</cp:coreProperties>
</file>