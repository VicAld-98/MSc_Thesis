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OneDrive\Documents\MSc_Bioinformatics\Leaf_assembly\Assemblers\HiFiASM\MitoHiFi\"/>
    </mc:Choice>
  </mc:AlternateContent>
  <xr:revisionPtr revIDLastSave="0" documentId="13_ncr:1_{BB8EB043-BA12-4FA1-B50D-0A58B58CCECE}" xr6:coauthVersionLast="47" xr6:coauthVersionMax="47" xr10:uidLastSave="{00000000-0000-0000-0000-000000000000}"/>
  <bookViews>
    <workbookView xWindow="-110" yWindow="-110" windowWidth="19420" windowHeight="10300" activeTab="1" xr2:uid="{97CD62BB-13DC-4875-A74B-93FC3AECAA6D}"/>
  </bookViews>
  <sheets>
    <sheet name="p_philippinicum" sheetId="1" r:id="rId1"/>
    <sheet name="c_westwoodii" sheetId="5" r:id="rId2"/>
    <sheet name="c_tibetense" sheetId="8" r:id="rId3"/>
    <sheet name="p_bioculatum" sheetId="6" r:id="rId4"/>
    <sheet name="c_oyae" sheetId="4" r:id="rId5"/>
    <sheet name="p_giganteum" sheetId="7" r:id="rId6"/>
    <sheet name="CDspT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2" i="7"/>
  <c r="C66" i="7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2" i="4"/>
  <c r="C66" i="4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2" i="6"/>
  <c r="C66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2" i="5"/>
  <c r="C66" i="5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2" i="8"/>
  <c r="C66" i="8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2" i="1"/>
  <c r="C66" i="1"/>
</calcChain>
</file>

<file path=xl/sharedStrings.xml><?xml version="1.0" encoding="utf-8"?>
<sst xmlns="http://schemas.openxmlformats.org/spreadsheetml/2006/main" count="804" uniqueCount="99">
  <si>
    <t>G</t>
  </si>
  <si>
    <t>GGG</t>
  </si>
  <si>
    <t>GGA</t>
  </si>
  <si>
    <t>GGC</t>
  </si>
  <si>
    <t>GGT</t>
  </si>
  <si>
    <t>R</t>
  </si>
  <si>
    <t>AGG</t>
  </si>
  <si>
    <t>AGA</t>
  </si>
  <si>
    <t>S</t>
  </si>
  <si>
    <t>AGC</t>
  </si>
  <si>
    <t>AGT</t>
  </si>
  <si>
    <t>CGG</t>
  </si>
  <si>
    <t>CGA</t>
  </si>
  <si>
    <t>CGC</t>
  </si>
  <si>
    <t>CGT</t>
  </si>
  <si>
    <t>W</t>
  </si>
  <si>
    <t>TGG</t>
  </si>
  <si>
    <t>*</t>
  </si>
  <si>
    <t>TGA</t>
  </si>
  <si>
    <t>C</t>
  </si>
  <si>
    <t>TGC</t>
  </si>
  <si>
    <t>TGT</t>
  </si>
  <si>
    <t>E</t>
  </si>
  <si>
    <t>GAG</t>
  </si>
  <si>
    <t>GAA</t>
  </si>
  <si>
    <t>D</t>
  </si>
  <si>
    <t>GAC</t>
  </si>
  <si>
    <t>GAT</t>
  </si>
  <si>
    <t>K</t>
  </si>
  <si>
    <t>AAG</t>
  </si>
  <si>
    <t>AAA</t>
  </si>
  <si>
    <t>N</t>
  </si>
  <si>
    <t>AAC</t>
  </si>
  <si>
    <t>AAT</t>
  </si>
  <si>
    <t>Q</t>
  </si>
  <si>
    <t>CAG</t>
  </si>
  <si>
    <t>CAA</t>
  </si>
  <si>
    <t>H</t>
  </si>
  <si>
    <t>CAC</t>
  </si>
  <si>
    <t>CAT</t>
  </si>
  <si>
    <t>TAG</t>
  </si>
  <si>
    <t>TAA</t>
  </si>
  <si>
    <t>Y</t>
  </si>
  <si>
    <t>TAC</t>
  </si>
  <si>
    <t>TAT</t>
  </si>
  <si>
    <t>A</t>
  </si>
  <si>
    <t>GCG</t>
  </si>
  <si>
    <t>GCA</t>
  </si>
  <si>
    <t>GCC</t>
  </si>
  <si>
    <t>GCT</t>
  </si>
  <si>
    <t>T</t>
  </si>
  <si>
    <t>ACG</t>
  </si>
  <si>
    <t>ACA</t>
  </si>
  <si>
    <t>ACC</t>
  </si>
  <si>
    <t>ACT</t>
  </si>
  <si>
    <t>P</t>
  </si>
  <si>
    <t>CCG</t>
  </si>
  <si>
    <t>CCA</t>
  </si>
  <si>
    <t>CCC</t>
  </si>
  <si>
    <t>CCT</t>
  </si>
  <si>
    <t>TCG</t>
  </si>
  <si>
    <t>TCA</t>
  </si>
  <si>
    <t>TCC</t>
  </si>
  <si>
    <t>TCT</t>
  </si>
  <si>
    <t>V</t>
  </si>
  <si>
    <t>GTG</t>
  </si>
  <si>
    <t>GTA</t>
  </si>
  <si>
    <t>GTC</t>
  </si>
  <si>
    <t>GTT</t>
  </si>
  <si>
    <t>M</t>
  </si>
  <si>
    <t>ATG</t>
  </si>
  <si>
    <t>I</t>
  </si>
  <si>
    <t>ATA</t>
  </si>
  <si>
    <t>ATC</t>
  </si>
  <si>
    <t>ATT</t>
  </si>
  <si>
    <t>L</t>
  </si>
  <si>
    <t>CTG</t>
  </si>
  <si>
    <t>CTA</t>
  </si>
  <si>
    <t>CTC</t>
  </si>
  <si>
    <t>CTT</t>
  </si>
  <si>
    <t>TTG</t>
  </si>
  <si>
    <t>TTA</t>
  </si>
  <si>
    <t>F</t>
  </si>
  <si>
    <t>TTC</t>
  </si>
  <si>
    <t>TTT</t>
  </si>
  <si>
    <t>Relative Synonymous Codon Usage (RSCU)</t>
  </si>
  <si>
    <t>Count</t>
  </si>
  <si>
    <t>Amino Acid</t>
  </si>
  <si>
    <t>Codon</t>
  </si>
  <si>
    <t>RSCU</t>
  </si>
  <si>
    <t>Total per 1000</t>
  </si>
  <si>
    <t>Total/1000</t>
  </si>
  <si>
    <t>Per/1000</t>
  </si>
  <si>
    <t>P_giganteum</t>
  </si>
  <si>
    <t>C_oyae</t>
  </si>
  <si>
    <t>P_bioculatum</t>
  </si>
  <si>
    <t>C_tibetense</t>
  </si>
  <si>
    <t>C_westwoodii</t>
  </si>
  <si>
    <t>P_philippinicum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</si>
</sst>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212529"/>
      <name val="Segoe UI"/>
      <family val="2"/>
    </font>
    <font>
      <sz val="10"/>
      <color rgb="FF212529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A2A2-3C36-4DEA-9373-F6C401FC3B3A}">
  <dimension ref="A1:E66"/>
  <sheetViews>
    <sheetView workbookViewId="0">
      <selection activeCell="E1" sqref="E1:E1048576"/>
    </sheetView>
  </sheetViews>
  <sheetFormatPr defaultRowHeight="12.5" x14ac:dyDescent="0.25"/>
  <cols>
    <col min="1" max="3" width="8.7265625" style="2"/>
    <col min="4" max="4" width="18.1796875" style="2" customWidth="1"/>
    <col min="5" max="16384" width="8.7265625" style="2"/>
  </cols>
  <sheetData>
    <row r="1" spans="1:5" ht="25" x14ac:dyDescent="0.25">
      <c r="A1" s="3" t="s">
        <v>88</v>
      </c>
      <c r="B1" s="3" t="s">
        <v>87</v>
      </c>
      <c r="C1" s="3" t="s">
        <v>86</v>
      </c>
      <c r="D1" s="3" t="s">
        <v>89</v>
      </c>
      <c r="E1" s="3" t="s">
        <v>90</v>
      </c>
    </row>
    <row r="2" spans="1:5" x14ac:dyDescent="0.25">
      <c r="A2" s="3" t="s">
        <v>84</v>
      </c>
      <c r="B2" s="3" t="s">
        <v>82</v>
      </c>
      <c r="C2" s="3">
        <v>296</v>
      </c>
      <c r="D2" s="3">
        <v>1.6870000000000001</v>
      </c>
      <c r="E2" s="2">
        <f>(C2/6435)*1000</f>
        <v>45.998445998446002</v>
      </c>
    </row>
    <row r="3" spans="1:5" x14ac:dyDescent="0.25">
      <c r="A3" s="3" t="s">
        <v>83</v>
      </c>
      <c r="B3" s="3" t="s">
        <v>82</v>
      </c>
      <c r="C3" s="3">
        <v>55</v>
      </c>
      <c r="D3" s="3">
        <v>0.313</v>
      </c>
      <c r="E3" s="2">
        <f t="shared" ref="E3:E65" si="0">(C3/6435)*1000</f>
        <v>8.5470085470085486</v>
      </c>
    </row>
    <row r="4" spans="1:5" x14ac:dyDescent="0.25">
      <c r="A4" s="3" t="s">
        <v>81</v>
      </c>
      <c r="B4" s="3" t="s">
        <v>75</v>
      </c>
      <c r="C4" s="3">
        <v>319</v>
      </c>
      <c r="D4" s="3">
        <v>4.0549999999999997</v>
      </c>
      <c r="E4" s="2">
        <f t="shared" si="0"/>
        <v>49.572649572649567</v>
      </c>
    </row>
    <row r="5" spans="1:5" x14ac:dyDescent="0.25">
      <c r="A5" s="3" t="s">
        <v>80</v>
      </c>
      <c r="B5" s="3" t="s">
        <v>75</v>
      </c>
      <c r="C5" s="3">
        <v>44</v>
      </c>
      <c r="D5" s="3">
        <v>0.55900000000000005</v>
      </c>
      <c r="E5" s="2">
        <f t="shared" si="0"/>
        <v>6.8376068376068373</v>
      </c>
    </row>
    <row r="6" spans="1:5" x14ac:dyDescent="0.25">
      <c r="A6" s="3" t="s">
        <v>79</v>
      </c>
      <c r="B6" s="3" t="s">
        <v>75</v>
      </c>
      <c r="C6" s="3">
        <v>43</v>
      </c>
      <c r="D6" s="3">
        <v>0.54700000000000004</v>
      </c>
      <c r="E6" s="2">
        <f t="shared" si="0"/>
        <v>6.6822066822066821</v>
      </c>
    </row>
    <row r="7" spans="1:5" x14ac:dyDescent="0.25">
      <c r="A7" s="3" t="s">
        <v>78</v>
      </c>
      <c r="B7" s="3" t="s">
        <v>75</v>
      </c>
      <c r="C7" s="3">
        <v>4</v>
      </c>
      <c r="D7" s="3">
        <v>5.0999999999999997E-2</v>
      </c>
      <c r="E7" s="2">
        <f t="shared" si="0"/>
        <v>0.62160062160062157</v>
      </c>
    </row>
    <row r="8" spans="1:5" x14ac:dyDescent="0.25">
      <c r="A8" s="3" t="s">
        <v>77</v>
      </c>
      <c r="B8" s="3" t="s">
        <v>75</v>
      </c>
      <c r="C8" s="3">
        <v>55</v>
      </c>
      <c r="D8" s="3">
        <v>0.69899999999999995</v>
      </c>
      <c r="E8" s="2">
        <f t="shared" si="0"/>
        <v>8.5470085470085486</v>
      </c>
    </row>
    <row r="9" spans="1:5" x14ac:dyDescent="0.25">
      <c r="A9" s="3" t="s">
        <v>76</v>
      </c>
      <c r="B9" s="3" t="s">
        <v>75</v>
      </c>
      <c r="C9" s="3">
        <v>7</v>
      </c>
      <c r="D9" s="3">
        <v>8.8999999999999996E-2</v>
      </c>
      <c r="E9" s="2">
        <f t="shared" si="0"/>
        <v>1.0878010878010878</v>
      </c>
    </row>
    <row r="10" spans="1:5" x14ac:dyDescent="0.25">
      <c r="A10" s="3" t="s">
        <v>74</v>
      </c>
      <c r="B10" s="3" t="s">
        <v>71</v>
      </c>
      <c r="C10" s="3">
        <v>306</v>
      </c>
      <c r="D10" s="3">
        <v>1.2969999999999999</v>
      </c>
      <c r="E10" s="2">
        <f t="shared" si="0"/>
        <v>47.552447552447553</v>
      </c>
    </row>
    <row r="11" spans="1:5" x14ac:dyDescent="0.25">
      <c r="A11" s="3" t="s">
        <v>73</v>
      </c>
      <c r="B11" s="3" t="s">
        <v>71</v>
      </c>
      <c r="C11" s="3">
        <v>60</v>
      </c>
      <c r="D11" s="3">
        <v>0.254</v>
      </c>
      <c r="E11" s="2">
        <f t="shared" si="0"/>
        <v>9.3240093240093245</v>
      </c>
    </row>
    <row r="12" spans="1:5" x14ac:dyDescent="0.25">
      <c r="A12" s="3" t="s">
        <v>72</v>
      </c>
      <c r="B12" s="3" t="s">
        <v>71</v>
      </c>
      <c r="C12" s="3">
        <v>342</v>
      </c>
      <c r="D12" s="3">
        <v>1.4490000000000001</v>
      </c>
      <c r="E12" s="2">
        <f t="shared" si="0"/>
        <v>53.146853146853147</v>
      </c>
    </row>
    <row r="13" spans="1:5" x14ac:dyDescent="0.25">
      <c r="A13" s="3" t="s">
        <v>70</v>
      </c>
      <c r="B13" s="3" t="s">
        <v>69</v>
      </c>
      <c r="C13" s="3">
        <v>37</v>
      </c>
      <c r="D13" s="3">
        <v>1</v>
      </c>
      <c r="E13" s="2">
        <f t="shared" si="0"/>
        <v>5.7498057498057502</v>
      </c>
    </row>
    <row r="14" spans="1:5" x14ac:dyDescent="0.25">
      <c r="A14" s="3" t="s">
        <v>68</v>
      </c>
      <c r="B14" s="3" t="s">
        <v>64</v>
      </c>
      <c r="C14" s="3">
        <v>87</v>
      </c>
      <c r="D14" s="3">
        <v>2.1219999999999999</v>
      </c>
      <c r="E14" s="2">
        <f t="shared" si="0"/>
        <v>13.519813519813521</v>
      </c>
    </row>
    <row r="15" spans="1:5" x14ac:dyDescent="0.25">
      <c r="A15" s="3" t="s">
        <v>67</v>
      </c>
      <c r="B15" s="3" t="s">
        <v>64</v>
      </c>
      <c r="C15" s="3">
        <v>6</v>
      </c>
      <c r="D15" s="3">
        <v>0.14599999999999999</v>
      </c>
      <c r="E15" s="2">
        <f t="shared" si="0"/>
        <v>0.93240093240093236</v>
      </c>
    </row>
    <row r="16" spans="1:5" x14ac:dyDescent="0.25">
      <c r="A16" s="3" t="s">
        <v>66</v>
      </c>
      <c r="B16" s="3" t="s">
        <v>64</v>
      </c>
      <c r="C16" s="3">
        <v>69</v>
      </c>
      <c r="D16" s="3">
        <v>1.6830000000000001</v>
      </c>
      <c r="E16" s="2">
        <f t="shared" si="0"/>
        <v>10.722610722610723</v>
      </c>
    </row>
    <row r="17" spans="1:5" x14ac:dyDescent="0.25">
      <c r="A17" s="3" t="s">
        <v>65</v>
      </c>
      <c r="B17" s="3" t="s">
        <v>64</v>
      </c>
      <c r="C17" s="3">
        <v>2</v>
      </c>
      <c r="D17" s="3">
        <v>4.9000000000000002E-2</v>
      </c>
      <c r="E17" s="2">
        <f t="shared" si="0"/>
        <v>0.31080031080031079</v>
      </c>
    </row>
    <row r="18" spans="1:5" x14ac:dyDescent="0.25">
      <c r="A18" s="3" t="s">
        <v>63</v>
      </c>
      <c r="B18" s="3" t="s">
        <v>8</v>
      </c>
      <c r="C18" s="3">
        <v>83</v>
      </c>
      <c r="D18" s="3">
        <v>1.9079999999999999</v>
      </c>
      <c r="E18" s="2">
        <f t="shared" si="0"/>
        <v>12.898212898212899</v>
      </c>
    </row>
    <row r="19" spans="1:5" x14ac:dyDescent="0.25">
      <c r="A19" s="3" t="s">
        <v>62</v>
      </c>
      <c r="B19" s="3" t="s">
        <v>8</v>
      </c>
      <c r="C19" s="3">
        <v>17</v>
      </c>
      <c r="D19" s="3">
        <v>0.39100000000000001</v>
      </c>
      <c r="E19" s="2">
        <f t="shared" si="0"/>
        <v>2.6418026418026419</v>
      </c>
    </row>
    <row r="20" spans="1:5" x14ac:dyDescent="0.25">
      <c r="A20" s="3" t="s">
        <v>61</v>
      </c>
      <c r="B20" s="3" t="s">
        <v>8</v>
      </c>
      <c r="C20" s="3">
        <v>122</v>
      </c>
      <c r="D20" s="3">
        <v>2.8050000000000002</v>
      </c>
      <c r="E20" s="2">
        <f t="shared" si="0"/>
        <v>18.958818958818959</v>
      </c>
    </row>
    <row r="21" spans="1:5" x14ac:dyDescent="0.25">
      <c r="A21" s="3" t="s">
        <v>60</v>
      </c>
      <c r="B21" s="3" t="s">
        <v>8</v>
      </c>
      <c r="C21" s="3">
        <v>6</v>
      </c>
      <c r="D21" s="3">
        <v>0.13800000000000001</v>
      </c>
      <c r="E21" s="2">
        <f t="shared" si="0"/>
        <v>0.93240093240093236</v>
      </c>
    </row>
    <row r="22" spans="1:5" x14ac:dyDescent="0.25">
      <c r="A22" s="3" t="s">
        <v>59</v>
      </c>
      <c r="B22" s="3" t="s">
        <v>55</v>
      </c>
      <c r="C22" s="3">
        <v>46</v>
      </c>
      <c r="D22" s="3">
        <v>1.415</v>
      </c>
      <c r="E22" s="2">
        <f t="shared" si="0"/>
        <v>7.1484071484071485</v>
      </c>
    </row>
    <row r="23" spans="1:5" x14ac:dyDescent="0.25">
      <c r="A23" s="3" t="s">
        <v>58</v>
      </c>
      <c r="B23" s="3" t="s">
        <v>55</v>
      </c>
      <c r="C23" s="3">
        <v>24</v>
      </c>
      <c r="D23" s="3">
        <v>0.73799999999999999</v>
      </c>
      <c r="E23" s="2">
        <f t="shared" si="0"/>
        <v>3.7296037296037294</v>
      </c>
    </row>
    <row r="24" spans="1:5" x14ac:dyDescent="0.25">
      <c r="A24" s="3" t="s">
        <v>57</v>
      </c>
      <c r="B24" s="3" t="s">
        <v>55</v>
      </c>
      <c r="C24" s="3">
        <v>58</v>
      </c>
      <c r="D24" s="3">
        <v>1.7849999999999999</v>
      </c>
      <c r="E24" s="2">
        <f t="shared" si="0"/>
        <v>9.0132090132090124</v>
      </c>
    </row>
    <row r="25" spans="1:5" x14ac:dyDescent="0.25">
      <c r="A25" s="3" t="s">
        <v>56</v>
      </c>
      <c r="B25" s="3" t="s">
        <v>55</v>
      </c>
      <c r="C25" s="3">
        <v>2</v>
      </c>
      <c r="D25" s="3">
        <v>6.2E-2</v>
      </c>
      <c r="E25" s="2">
        <f t="shared" si="0"/>
        <v>0.31080031080031079</v>
      </c>
    </row>
    <row r="26" spans="1:5" x14ac:dyDescent="0.25">
      <c r="A26" s="3" t="s">
        <v>54</v>
      </c>
      <c r="B26" s="3" t="s">
        <v>50</v>
      </c>
      <c r="C26" s="3">
        <v>68</v>
      </c>
      <c r="D26" s="3">
        <v>1.327</v>
      </c>
      <c r="E26" s="2">
        <f t="shared" si="0"/>
        <v>10.567210567210568</v>
      </c>
    </row>
    <row r="27" spans="1:5" x14ac:dyDescent="0.25">
      <c r="A27" s="3" t="s">
        <v>53</v>
      </c>
      <c r="B27" s="3" t="s">
        <v>50</v>
      </c>
      <c r="C27" s="3">
        <v>21</v>
      </c>
      <c r="D27" s="3">
        <v>0.41</v>
      </c>
      <c r="E27" s="2">
        <f t="shared" si="0"/>
        <v>3.2634032634032635</v>
      </c>
    </row>
    <row r="28" spans="1:5" x14ac:dyDescent="0.25">
      <c r="A28" s="3" t="s">
        <v>52</v>
      </c>
      <c r="B28" s="3" t="s">
        <v>50</v>
      </c>
      <c r="C28" s="3">
        <v>112</v>
      </c>
      <c r="D28" s="3">
        <v>2.1850000000000001</v>
      </c>
      <c r="E28" s="2">
        <f t="shared" si="0"/>
        <v>17.404817404817404</v>
      </c>
    </row>
    <row r="29" spans="1:5" x14ac:dyDescent="0.25">
      <c r="A29" s="3" t="s">
        <v>51</v>
      </c>
      <c r="B29" s="3" t="s">
        <v>50</v>
      </c>
      <c r="C29" s="3">
        <v>4</v>
      </c>
      <c r="D29" s="3">
        <v>7.8E-2</v>
      </c>
      <c r="E29" s="2">
        <f t="shared" si="0"/>
        <v>0.62160062160062157</v>
      </c>
    </row>
    <row r="30" spans="1:5" x14ac:dyDescent="0.25">
      <c r="A30" s="3" t="s">
        <v>49</v>
      </c>
      <c r="B30" s="3" t="s">
        <v>45</v>
      </c>
      <c r="C30" s="3">
        <v>41</v>
      </c>
      <c r="D30" s="3">
        <v>1.5189999999999999</v>
      </c>
      <c r="E30" s="2">
        <f t="shared" si="0"/>
        <v>6.3714063714063718</v>
      </c>
    </row>
    <row r="31" spans="1:5" x14ac:dyDescent="0.25">
      <c r="A31" s="3" t="s">
        <v>48</v>
      </c>
      <c r="B31" s="3" t="s">
        <v>45</v>
      </c>
      <c r="C31" s="3">
        <v>15</v>
      </c>
      <c r="D31" s="3">
        <v>0.55600000000000005</v>
      </c>
      <c r="E31" s="2">
        <f t="shared" si="0"/>
        <v>2.3310023310023311</v>
      </c>
    </row>
    <row r="32" spans="1:5" x14ac:dyDescent="0.25">
      <c r="A32" s="3" t="s">
        <v>47</v>
      </c>
      <c r="B32" s="3" t="s">
        <v>45</v>
      </c>
      <c r="C32" s="3">
        <v>49</v>
      </c>
      <c r="D32" s="3">
        <v>1.8149999999999999</v>
      </c>
      <c r="E32" s="2">
        <f t="shared" si="0"/>
        <v>7.6146076146076149</v>
      </c>
    </row>
    <row r="33" spans="1:5" x14ac:dyDescent="0.25">
      <c r="A33" s="3" t="s">
        <v>46</v>
      </c>
      <c r="B33" s="3" t="s">
        <v>45</v>
      </c>
      <c r="C33" s="3">
        <v>3</v>
      </c>
      <c r="D33" s="3">
        <v>0.111</v>
      </c>
      <c r="E33" s="2">
        <f t="shared" si="0"/>
        <v>0.46620046620046618</v>
      </c>
    </row>
    <row r="34" spans="1:5" x14ac:dyDescent="0.25">
      <c r="A34" s="3" t="s">
        <v>44</v>
      </c>
      <c r="B34" s="3" t="s">
        <v>42</v>
      </c>
      <c r="C34" s="3">
        <v>146</v>
      </c>
      <c r="D34" s="3">
        <v>1.6220000000000001</v>
      </c>
      <c r="E34" s="2">
        <f t="shared" si="0"/>
        <v>22.68842268842269</v>
      </c>
    </row>
    <row r="35" spans="1:5" x14ac:dyDescent="0.25">
      <c r="A35" s="3" t="s">
        <v>43</v>
      </c>
      <c r="B35" s="3" t="s">
        <v>42</v>
      </c>
      <c r="C35" s="3">
        <v>34</v>
      </c>
      <c r="D35" s="3">
        <v>0.378</v>
      </c>
      <c r="E35" s="2">
        <f t="shared" si="0"/>
        <v>5.2836052836052838</v>
      </c>
    </row>
    <row r="36" spans="1:5" x14ac:dyDescent="0.25">
      <c r="A36" s="3" t="s">
        <v>41</v>
      </c>
      <c r="B36" s="3" t="s">
        <v>17</v>
      </c>
      <c r="C36" s="3">
        <v>11</v>
      </c>
      <c r="D36" s="3">
        <v>0.38800000000000001</v>
      </c>
      <c r="E36" s="2">
        <f t="shared" si="0"/>
        <v>1.7094017094017093</v>
      </c>
    </row>
    <row r="37" spans="1:5" x14ac:dyDescent="0.25">
      <c r="A37" s="3" t="s">
        <v>40</v>
      </c>
      <c r="B37" s="3" t="s">
        <v>17</v>
      </c>
      <c r="C37" s="3">
        <v>0</v>
      </c>
      <c r="D37" s="3">
        <v>0</v>
      </c>
      <c r="E37" s="2">
        <f t="shared" si="0"/>
        <v>0</v>
      </c>
    </row>
    <row r="38" spans="1:5" x14ac:dyDescent="0.25">
      <c r="A38" s="3" t="s">
        <v>39</v>
      </c>
      <c r="B38" s="3" t="s">
        <v>37</v>
      </c>
      <c r="C38" s="3">
        <v>45</v>
      </c>
      <c r="D38" s="3">
        <v>1.4059999999999999</v>
      </c>
      <c r="E38" s="2">
        <f t="shared" si="0"/>
        <v>6.9930069930069934</v>
      </c>
    </row>
    <row r="39" spans="1:5" x14ac:dyDescent="0.25">
      <c r="A39" s="3" t="s">
        <v>38</v>
      </c>
      <c r="B39" s="3" t="s">
        <v>37</v>
      </c>
      <c r="C39" s="3">
        <v>19</v>
      </c>
      <c r="D39" s="3">
        <v>0.59399999999999997</v>
      </c>
      <c r="E39" s="2">
        <f t="shared" si="0"/>
        <v>2.9526029526029527</v>
      </c>
    </row>
    <row r="40" spans="1:5" x14ac:dyDescent="0.25">
      <c r="A40" s="3" t="s">
        <v>36</v>
      </c>
      <c r="B40" s="3" t="s">
        <v>34</v>
      </c>
      <c r="C40" s="3">
        <v>52</v>
      </c>
      <c r="D40" s="3">
        <v>1.7050000000000001</v>
      </c>
      <c r="E40" s="2">
        <f t="shared" si="0"/>
        <v>8.0808080808080813</v>
      </c>
    </row>
    <row r="41" spans="1:5" x14ac:dyDescent="0.25">
      <c r="A41" s="3" t="s">
        <v>35</v>
      </c>
      <c r="B41" s="3" t="s">
        <v>34</v>
      </c>
      <c r="C41" s="3">
        <v>9</v>
      </c>
      <c r="D41" s="3">
        <v>0.29499999999999998</v>
      </c>
      <c r="E41" s="2">
        <f t="shared" si="0"/>
        <v>1.3986013986013985</v>
      </c>
    </row>
    <row r="42" spans="1:5" x14ac:dyDescent="0.25">
      <c r="A42" s="3" t="s">
        <v>33</v>
      </c>
      <c r="B42" s="3" t="s">
        <v>31</v>
      </c>
      <c r="C42" s="3">
        <v>146</v>
      </c>
      <c r="D42" s="3">
        <v>1.5609999999999999</v>
      </c>
      <c r="E42" s="2">
        <f t="shared" si="0"/>
        <v>22.68842268842269</v>
      </c>
    </row>
    <row r="43" spans="1:5" x14ac:dyDescent="0.25">
      <c r="A43" s="3" t="s">
        <v>32</v>
      </c>
      <c r="B43" s="3" t="s">
        <v>31</v>
      </c>
      <c r="C43" s="3">
        <v>41</v>
      </c>
      <c r="D43" s="3">
        <v>0.439</v>
      </c>
      <c r="E43" s="2">
        <f t="shared" si="0"/>
        <v>6.3714063714063718</v>
      </c>
    </row>
    <row r="44" spans="1:5" x14ac:dyDescent="0.25">
      <c r="A44" s="3" t="s">
        <v>30</v>
      </c>
      <c r="B44" s="3" t="s">
        <v>28</v>
      </c>
      <c r="C44" s="3">
        <v>105</v>
      </c>
      <c r="D44" s="3">
        <v>1.7210000000000001</v>
      </c>
      <c r="E44" s="2">
        <f t="shared" si="0"/>
        <v>16.317016317016318</v>
      </c>
    </row>
    <row r="45" spans="1:5" x14ac:dyDescent="0.25">
      <c r="A45" s="3" t="s">
        <v>29</v>
      </c>
      <c r="B45" s="3" t="s">
        <v>28</v>
      </c>
      <c r="C45" s="3">
        <v>17</v>
      </c>
      <c r="D45" s="3">
        <v>0.27900000000000003</v>
      </c>
      <c r="E45" s="2">
        <f t="shared" si="0"/>
        <v>2.6418026418026419</v>
      </c>
    </row>
    <row r="46" spans="1:5" x14ac:dyDescent="0.25">
      <c r="A46" s="3" t="s">
        <v>27</v>
      </c>
      <c r="B46" s="3" t="s">
        <v>25</v>
      </c>
      <c r="C46" s="3">
        <v>49</v>
      </c>
      <c r="D46" s="3">
        <v>1.42</v>
      </c>
      <c r="E46" s="2">
        <f t="shared" si="0"/>
        <v>7.6146076146076149</v>
      </c>
    </row>
    <row r="47" spans="1:5" x14ac:dyDescent="0.25">
      <c r="A47" s="3" t="s">
        <v>26</v>
      </c>
      <c r="B47" s="3" t="s">
        <v>25</v>
      </c>
      <c r="C47" s="3">
        <v>20</v>
      </c>
      <c r="D47" s="3">
        <v>0.57999999999999996</v>
      </c>
      <c r="E47" s="2">
        <f t="shared" si="0"/>
        <v>3.1080031080031079</v>
      </c>
    </row>
    <row r="48" spans="1:5" x14ac:dyDescent="0.25">
      <c r="A48" s="3" t="s">
        <v>24</v>
      </c>
      <c r="B48" s="3" t="s">
        <v>22</v>
      </c>
      <c r="C48" s="3">
        <v>57</v>
      </c>
      <c r="D48" s="3">
        <v>1.462</v>
      </c>
      <c r="E48" s="2">
        <f t="shared" si="0"/>
        <v>8.857808857808859</v>
      </c>
    </row>
    <row r="49" spans="1:5" x14ac:dyDescent="0.25">
      <c r="A49" s="3" t="s">
        <v>23</v>
      </c>
      <c r="B49" s="3" t="s">
        <v>22</v>
      </c>
      <c r="C49" s="3">
        <v>21</v>
      </c>
      <c r="D49" s="3">
        <v>0.53800000000000003</v>
      </c>
      <c r="E49" s="2">
        <f t="shared" si="0"/>
        <v>3.2634032634032635</v>
      </c>
    </row>
    <row r="50" spans="1:5" x14ac:dyDescent="0.25">
      <c r="A50" s="3" t="s">
        <v>21</v>
      </c>
      <c r="B50" s="3" t="s">
        <v>19</v>
      </c>
      <c r="C50" s="3">
        <v>43</v>
      </c>
      <c r="D50" s="3">
        <v>1.7549999999999999</v>
      </c>
      <c r="E50" s="2">
        <f t="shared" si="0"/>
        <v>6.6822066822066821</v>
      </c>
    </row>
    <row r="51" spans="1:5" x14ac:dyDescent="0.25">
      <c r="A51" s="3" t="s">
        <v>20</v>
      </c>
      <c r="B51" s="3" t="s">
        <v>19</v>
      </c>
      <c r="C51" s="3">
        <v>6</v>
      </c>
      <c r="D51" s="3">
        <v>0.245</v>
      </c>
      <c r="E51" s="2">
        <f t="shared" si="0"/>
        <v>0.93240093240093236</v>
      </c>
    </row>
    <row r="52" spans="1:5" x14ac:dyDescent="0.25">
      <c r="A52" s="3" t="s">
        <v>18</v>
      </c>
      <c r="B52" s="3" t="s">
        <v>17</v>
      </c>
      <c r="C52" s="3">
        <v>74</v>
      </c>
      <c r="D52" s="3">
        <v>2.6120000000000001</v>
      </c>
      <c r="E52" s="2">
        <f t="shared" si="0"/>
        <v>11.4996114996115</v>
      </c>
    </row>
    <row r="53" spans="1:5" x14ac:dyDescent="0.25">
      <c r="A53" s="3" t="s">
        <v>16</v>
      </c>
      <c r="B53" s="3" t="s">
        <v>15</v>
      </c>
      <c r="C53" s="3">
        <v>17</v>
      </c>
      <c r="D53" s="3">
        <v>1</v>
      </c>
      <c r="E53" s="2">
        <f t="shared" si="0"/>
        <v>2.6418026418026419</v>
      </c>
    </row>
    <row r="54" spans="1:5" x14ac:dyDescent="0.25">
      <c r="A54" s="3" t="s">
        <v>14</v>
      </c>
      <c r="B54" s="3" t="s">
        <v>5</v>
      </c>
      <c r="C54" s="3">
        <v>19</v>
      </c>
      <c r="D54" s="3">
        <v>0.82</v>
      </c>
      <c r="E54" s="2">
        <f t="shared" si="0"/>
        <v>2.9526029526029527</v>
      </c>
    </row>
    <row r="55" spans="1:5" x14ac:dyDescent="0.25">
      <c r="A55" s="3" t="s">
        <v>13</v>
      </c>
      <c r="B55" s="3" t="s">
        <v>5</v>
      </c>
      <c r="C55" s="3">
        <v>1</v>
      </c>
      <c r="D55" s="3">
        <v>4.2999999999999997E-2</v>
      </c>
      <c r="E55" s="2">
        <f t="shared" si="0"/>
        <v>0.15540015540015539</v>
      </c>
    </row>
    <row r="56" spans="1:5" x14ac:dyDescent="0.25">
      <c r="A56" s="3" t="s">
        <v>12</v>
      </c>
      <c r="B56" s="3" t="s">
        <v>5</v>
      </c>
      <c r="C56" s="3">
        <v>27</v>
      </c>
      <c r="D56" s="3">
        <v>1.165</v>
      </c>
      <c r="E56" s="2">
        <f t="shared" si="0"/>
        <v>4.1958041958041958</v>
      </c>
    </row>
    <row r="57" spans="1:5" x14ac:dyDescent="0.25">
      <c r="A57" s="3" t="s">
        <v>11</v>
      </c>
      <c r="B57" s="3" t="s">
        <v>5</v>
      </c>
      <c r="C57" s="3">
        <v>3</v>
      </c>
      <c r="D57" s="3">
        <v>0.129</v>
      </c>
      <c r="E57" s="2">
        <f t="shared" si="0"/>
        <v>0.46620046620046618</v>
      </c>
    </row>
    <row r="58" spans="1:5" x14ac:dyDescent="0.25">
      <c r="A58" s="3" t="s">
        <v>10</v>
      </c>
      <c r="B58" s="3" t="s">
        <v>8</v>
      </c>
      <c r="C58" s="3">
        <v>30</v>
      </c>
      <c r="D58" s="3">
        <v>0.69</v>
      </c>
      <c r="E58" s="2">
        <f t="shared" si="0"/>
        <v>4.6620046620046622</v>
      </c>
    </row>
    <row r="59" spans="1:5" x14ac:dyDescent="0.25">
      <c r="A59" s="3" t="s">
        <v>9</v>
      </c>
      <c r="B59" s="3" t="s">
        <v>8</v>
      </c>
      <c r="C59" s="3">
        <v>3</v>
      </c>
      <c r="D59" s="3">
        <v>6.9000000000000006E-2</v>
      </c>
      <c r="E59" s="2">
        <f t="shared" si="0"/>
        <v>0.46620046620046618</v>
      </c>
    </row>
    <row r="60" spans="1:5" x14ac:dyDescent="0.25">
      <c r="A60" s="3" t="s">
        <v>7</v>
      </c>
      <c r="B60" s="3" t="s">
        <v>5</v>
      </c>
      <c r="C60" s="3">
        <v>83</v>
      </c>
      <c r="D60" s="3">
        <v>3.5830000000000002</v>
      </c>
      <c r="E60" s="2">
        <f t="shared" si="0"/>
        <v>12.898212898212899</v>
      </c>
    </row>
    <row r="61" spans="1:5" x14ac:dyDescent="0.25">
      <c r="A61" s="3" t="s">
        <v>6</v>
      </c>
      <c r="B61" s="3" t="s">
        <v>5</v>
      </c>
      <c r="C61" s="3">
        <v>6</v>
      </c>
      <c r="D61" s="3">
        <v>0.25900000000000001</v>
      </c>
      <c r="E61" s="2">
        <f t="shared" si="0"/>
        <v>0.93240093240093236</v>
      </c>
    </row>
    <row r="62" spans="1:5" x14ac:dyDescent="0.25">
      <c r="A62" s="3" t="s">
        <v>4</v>
      </c>
      <c r="B62" s="3" t="s">
        <v>0</v>
      </c>
      <c r="C62" s="3">
        <v>69</v>
      </c>
      <c r="D62" s="3">
        <v>1.3660000000000001</v>
      </c>
      <c r="E62" s="2">
        <f t="shared" si="0"/>
        <v>10.722610722610723</v>
      </c>
    </row>
    <row r="63" spans="1:5" x14ac:dyDescent="0.25">
      <c r="A63" s="3" t="s">
        <v>3</v>
      </c>
      <c r="B63" s="3" t="s">
        <v>0</v>
      </c>
      <c r="C63" s="3">
        <v>4</v>
      </c>
      <c r="D63" s="3">
        <v>7.9000000000000001E-2</v>
      </c>
      <c r="E63" s="2">
        <f t="shared" si="0"/>
        <v>0.62160062160062157</v>
      </c>
    </row>
    <row r="64" spans="1:5" x14ac:dyDescent="0.25">
      <c r="A64" s="3" t="s">
        <v>2</v>
      </c>
      <c r="B64" s="3" t="s">
        <v>0</v>
      </c>
      <c r="C64" s="3">
        <v>78</v>
      </c>
      <c r="D64" s="3">
        <v>1.5449999999999999</v>
      </c>
      <c r="E64" s="2">
        <f t="shared" si="0"/>
        <v>12.121212121212121</v>
      </c>
    </row>
    <row r="65" spans="1:5" x14ac:dyDescent="0.25">
      <c r="A65" s="3" t="s">
        <v>1</v>
      </c>
      <c r="B65" s="3" t="s">
        <v>0</v>
      </c>
      <c r="C65" s="3">
        <v>51</v>
      </c>
      <c r="D65" s="3">
        <v>1.01</v>
      </c>
      <c r="E65" s="2">
        <f t="shared" si="0"/>
        <v>7.9254079254079262</v>
      </c>
    </row>
    <row r="66" spans="1:5" x14ac:dyDescent="0.25">
      <c r="C66" s="2">
        <f>SUM(C2:C65)</f>
        <v>3689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5473-44C8-4DBD-88E3-D69288B3DA70}">
  <dimension ref="A1:E66"/>
  <sheetViews>
    <sheetView tabSelected="1" workbookViewId="0">
      <selection activeCell="K5" sqref="K5"/>
    </sheetView>
  </sheetViews>
  <sheetFormatPr defaultRowHeight="14.5" x14ac:dyDescent="0.35"/>
  <sheetData>
    <row r="1" spans="1:5" ht="20.5" customHeight="1" x14ac:dyDescent="0.35">
      <c r="A1" s="1" t="s">
        <v>88</v>
      </c>
      <c r="B1" s="1" t="s">
        <v>87</v>
      </c>
      <c r="C1" s="1" t="s">
        <v>86</v>
      </c>
      <c r="D1" s="1" t="s">
        <v>89</v>
      </c>
      <c r="E1" s="1" t="s">
        <v>91</v>
      </c>
    </row>
    <row r="2" spans="1:5" x14ac:dyDescent="0.35">
      <c r="A2" s="1" t="s">
        <v>84</v>
      </c>
      <c r="B2" s="1" t="s">
        <v>82</v>
      </c>
      <c r="C2" s="1">
        <v>332</v>
      </c>
      <c r="D2" s="1">
        <v>1.6850000000000001</v>
      </c>
      <c r="E2">
        <f>(C2/3704)*1000</f>
        <v>89.632829373650111</v>
      </c>
    </row>
    <row r="3" spans="1:5" x14ac:dyDescent="0.35">
      <c r="A3" s="1" t="s">
        <v>83</v>
      </c>
      <c r="B3" s="1" t="s">
        <v>82</v>
      </c>
      <c r="C3" s="1">
        <v>62</v>
      </c>
      <c r="D3" s="1">
        <v>0.315</v>
      </c>
      <c r="E3">
        <f t="shared" ref="E3:E65" si="0">(C3/3704)*1000</f>
        <v>16.738660907127432</v>
      </c>
    </row>
    <row r="4" spans="1:5" x14ac:dyDescent="0.35">
      <c r="A4" s="1" t="s">
        <v>81</v>
      </c>
      <c r="B4" s="1" t="s">
        <v>75</v>
      </c>
      <c r="C4" s="1">
        <v>283</v>
      </c>
      <c r="D4" s="1">
        <v>3.8940000000000001</v>
      </c>
      <c r="E4">
        <f t="shared" si="0"/>
        <v>76.403887688984881</v>
      </c>
    </row>
    <row r="5" spans="1:5" x14ac:dyDescent="0.35">
      <c r="A5" s="1" t="s">
        <v>80</v>
      </c>
      <c r="B5" s="1" t="s">
        <v>75</v>
      </c>
      <c r="C5" s="1">
        <v>59</v>
      </c>
      <c r="D5" s="1">
        <v>0.81200000000000006</v>
      </c>
      <c r="E5">
        <f t="shared" si="0"/>
        <v>15.928725701943845</v>
      </c>
    </row>
    <row r="6" spans="1:5" x14ac:dyDescent="0.35">
      <c r="A6" s="1" t="s">
        <v>79</v>
      </c>
      <c r="B6" s="1" t="s">
        <v>75</v>
      </c>
      <c r="C6" s="1">
        <v>38</v>
      </c>
      <c r="D6" s="1">
        <v>0.52300000000000002</v>
      </c>
      <c r="E6">
        <f t="shared" si="0"/>
        <v>10.259179265658746</v>
      </c>
    </row>
    <row r="7" spans="1:5" x14ac:dyDescent="0.35">
      <c r="A7" s="1" t="s">
        <v>78</v>
      </c>
      <c r="B7" s="1" t="s">
        <v>75</v>
      </c>
      <c r="C7" s="1">
        <v>2</v>
      </c>
      <c r="D7" s="1">
        <v>2.8000000000000001E-2</v>
      </c>
      <c r="E7">
        <f t="shared" si="0"/>
        <v>0.53995680345572361</v>
      </c>
    </row>
    <row r="8" spans="1:5" x14ac:dyDescent="0.35">
      <c r="A8" s="1" t="s">
        <v>77</v>
      </c>
      <c r="B8" s="1" t="s">
        <v>75</v>
      </c>
      <c r="C8" s="1">
        <v>53</v>
      </c>
      <c r="D8" s="1">
        <v>0.72899999999999998</v>
      </c>
      <c r="E8">
        <f t="shared" si="0"/>
        <v>14.308855291576673</v>
      </c>
    </row>
    <row r="9" spans="1:5" x14ac:dyDescent="0.35">
      <c r="A9" s="1" t="s">
        <v>76</v>
      </c>
      <c r="B9" s="1" t="s">
        <v>75</v>
      </c>
      <c r="C9" s="1">
        <v>1</v>
      </c>
      <c r="D9" s="1">
        <v>1.4E-2</v>
      </c>
      <c r="E9">
        <f t="shared" si="0"/>
        <v>0.26997840172786181</v>
      </c>
    </row>
    <row r="10" spans="1:5" x14ac:dyDescent="0.35">
      <c r="A10" s="1" t="s">
        <v>74</v>
      </c>
      <c r="B10" s="1" t="s">
        <v>71</v>
      </c>
      <c r="C10" s="1">
        <v>271</v>
      </c>
      <c r="D10" s="1">
        <v>1.111</v>
      </c>
      <c r="E10">
        <f t="shared" si="0"/>
        <v>73.16414686825054</v>
      </c>
    </row>
    <row r="11" spans="1:5" x14ac:dyDescent="0.35">
      <c r="A11" s="1" t="s">
        <v>73</v>
      </c>
      <c r="B11" s="1" t="s">
        <v>71</v>
      </c>
      <c r="C11" s="1">
        <v>52</v>
      </c>
      <c r="D11" s="1">
        <v>0.21299999999999999</v>
      </c>
      <c r="E11">
        <f t="shared" si="0"/>
        <v>14.038876889848812</v>
      </c>
    </row>
    <row r="12" spans="1:5" x14ac:dyDescent="0.35">
      <c r="A12" s="1" t="s">
        <v>72</v>
      </c>
      <c r="B12" s="1" t="s">
        <v>71</v>
      </c>
      <c r="C12" s="1">
        <v>409</v>
      </c>
      <c r="D12" s="1">
        <v>1.6759999999999999</v>
      </c>
      <c r="E12">
        <f t="shared" si="0"/>
        <v>110.42116630669547</v>
      </c>
    </row>
    <row r="13" spans="1:5" x14ac:dyDescent="0.35">
      <c r="A13" s="1" t="s">
        <v>70</v>
      </c>
      <c r="B13" s="1" t="s">
        <v>69</v>
      </c>
      <c r="C13" s="1">
        <v>33</v>
      </c>
      <c r="D13" s="1">
        <v>1</v>
      </c>
      <c r="E13">
        <f t="shared" si="0"/>
        <v>8.9092872570194395</v>
      </c>
    </row>
    <row r="14" spans="1:5" x14ac:dyDescent="0.35">
      <c r="A14" s="1" t="s">
        <v>68</v>
      </c>
      <c r="B14" s="1" t="s">
        <v>64</v>
      </c>
      <c r="C14" s="1">
        <v>80</v>
      </c>
      <c r="D14" s="1">
        <v>2.2069999999999999</v>
      </c>
      <c r="E14">
        <f t="shared" si="0"/>
        <v>21.598272138228939</v>
      </c>
    </row>
    <row r="15" spans="1:5" x14ac:dyDescent="0.35">
      <c r="A15" s="1" t="s">
        <v>67</v>
      </c>
      <c r="B15" s="1" t="s">
        <v>64</v>
      </c>
      <c r="C15" s="1">
        <v>2</v>
      </c>
      <c r="D15" s="1">
        <v>5.5E-2</v>
      </c>
      <c r="E15">
        <f t="shared" si="0"/>
        <v>0.53995680345572361</v>
      </c>
    </row>
    <row r="16" spans="1:5" x14ac:dyDescent="0.35">
      <c r="A16" s="1" t="s">
        <v>66</v>
      </c>
      <c r="B16" s="1" t="s">
        <v>64</v>
      </c>
      <c r="C16" s="1">
        <v>60</v>
      </c>
      <c r="D16" s="1">
        <v>1.655</v>
      </c>
      <c r="E16">
        <f t="shared" si="0"/>
        <v>16.198704103671709</v>
      </c>
    </row>
    <row r="17" spans="1:5" x14ac:dyDescent="0.35">
      <c r="A17" s="1" t="s">
        <v>65</v>
      </c>
      <c r="B17" s="1" t="s">
        <v>64</v>
      </c>
      <c r="C17" s="1">
        <v>3</v>
      </c>
      <c r="D17" s="1">
        <v>8.3000000000000004E-2</v>
      </c>
      <c r="E17">
        <f t="shared" si="0"/>
        <v>0.80993520518358531</v>
      </c>
    </row>
    <row r="18" spans="1:5" x14ac:dyDescent="0.35">
      <c r="A18" s="1" t="s">
        <v>63</v>
      </c>
      <c r="B18" s="1" t="s">
        <v>8</v>
      </c>
      <c r="C18" s="1">
        <v>102</v>
      </c>
      <c r="D18" s="1">
        <v>2.3540000000000001</v>
      </c>
      <c r="E18">
        <f t="shared" si="0"/>
        <v>27.5377969762419</v>
      </c>
    </row>
    <row r="19" spans="1:5" x14ac:dyDescent="0.35">
      <c r="A19" s="1" t="s">
        <v>62</v>
      </c>
      <c r="B19" s="1" t="s">
        <v>8</v>
      </c>
      <c r="C19" s="1">
        <v>6</v>
      </c>
      <c r="D19" s="1">
        <v>0.13800000000000001</v>
      </c>
      <c r="E19">
        <f t="shared" si="0"/>
        <v>1.6198704103671706</v>
      </c>
    </row>
    <row r="20" spans="1:5" x14ac:dyDescent="0.35">
      <c r="A20" s="1" t="s">
        <v>61</v>
      </c>
      <c r="B20" s="1" t="s">
        <v>8</v>
      </c>
      <c r="C20" s="1">
        <v>128</v>
      </c>
      <c r="D20" s="1">
        <v>2.9540000000000002</v>
      </c>
      <c r="E20">
        <f t="shared" si="0"/>
        <v>34.557235421166311</v>
      </c>
    </row>
    <row r="21" spans="1:5" x14ac:dyDescent="0.35">
      <c r="A21" s="1" t="s">
        <v>60</v>
      </c>
      <c r="B21" s="1" t="s">
        <v>8</v>
      </c>
      <c r="C21" s="1">
        <v>1</v>
      </c>
      <c r="D21" s="1">
        <v>2.3E-2</v>
      </c>
      <c r="E21">
        <f t="shared" si="0"/>
        <v>0.26997840172786181</v>
      </c>
    </row>
    <row r="22" spans="1:5" x14ac:dyDescent="0.35">
      <c r="A22" s="1" t="s">
        <v>59</v>
      </c>
      <c r="B22" s="1" t="s">
        <v>55</v>
      </c>
      <c r="C22" s="1">
        <v>43</v>
      </c>
      <c r="D22" s="1">
        <v>1.333</v>
      </c>
      <c r="E22">
        <f t="shared" si="0"/>
        <v>11.609071274298056</v>
      </c>
    </row>
    <row r="23" spans="1:5" x14ac:dyDescent="0.35">
      <c r="A23" s="1" t="s">
        <v>58</v>
      </c>
      <c r="B23" s="1" t="s">
        <v>55</v>
      </c>
      <c r="C23" s="1">
        <v>9</v>
      </c>
      <c r="D23" s="1">
        <v>0.27900000000000003</v>
      </c>
      <c r="E23">
        <f t="shared" si="0"/>
        <v>2.4298056155507561</v>
      </c>
    </row>
    <row r="24" spans="1:5" x14ac:dyDescent="0.35">
      <c r="A24" s="1" t="s">
        <v>57</v>
      </c>
      <c r="B24" s="1" t="s">
        <v>55</v>
      </c>
      <c r="C24" s="1">
        <v>76</v>
      </c>
      <c r="D24" s="1">
        <v>2.3570000000000002</v>
      </c>
      <c r="E24">
        <f t="shared" si="0"/>
        <v>20.518358531317492</v>
      </c>
    </row>
    <row r="25" spans="1:5" x14ac:dyDescent="0.35">
      <c r="A25" s="1" t="s">
        <v>56</v>
      </c>
      <c r="B25" s="1" t="s">
        <v>55</v>
      </c>
      <c r="C25" s="1">
        <v>1</v>
      </c>
      <c r="D25" s="1">
        <v>3.1E-2</v>
      </c>
      <c r="E25">
        <f t="shared" si="0"/>
        <v>0.26997840172786181</v>
      </c>
    </row>
    <row r="26" spans="1:5" x14ac:dyDescent="0.35">
      <c r="A26" s="1" t="s">
        <v>54</v>
      </c>
      <c r="B26" s="1" t="s">
        <v>50</v>
      </c>
      <c r="C26" s="1">
        <v>49</v>
      </c>
      <c r="D26" s="1">
        <v>0.90300000000000002</v>
      </c>
      <c r="E26">
        <f t="shared" si="0"/>
        <v>13.228941684665227</v>
      </c>
    </row>
    <row r="27" spans="1:5" x14ac:dyDescent="0.35">
      <c r="A27" s="1" t="s">
        <v>53</v>
      </c>
      <c r="B27" s="1" t="s">
        <v>50</v>
      </c>
      <c r="C27" s="1">
        <v>14</v>
      </c>
      <c r="D27" s="1">
        <v>0.25800000000000001</v>
      </c>
      <c r="E27">
        <f t="shared" si="0"/>
        <v>3.7796976241900651</v>
      </c>
    </row>
    <row r="28" spans="1:5" x14ac:dyDescent="0.35">
      <c r="A28" s="1" t="s">
        <v>52</v>
      </c>
      <c r="B28" s="1" t="s">
        <v>50</v>
      </c>
      <c r="C28" s="1">
        <v>151</v>
      </c>
      <c r="D28" s="1">
        <v>2.7829999999999999</v>
      </c>
      <c r="E28">
        <f t="shared" si="0"/>
        <v>40.766738660907123</v>
      </c>
    </row>
    <row r="29" spans="1:5" x14ac:dyDescent="0.35">
      <c r="A29" s="1" t="s">
        <v>51</v>
      </c>
      <c r="B29" s="1" t="s">
        <v>50</v>
      </c>
      <c r="C29" s="1">
        <v>3</v>
      </c>
      <c r="D29" s="1">
        <v>5.5E-2</v>
      </c>
      <c r="E29">
        <f t="shared" si="0"/>
        <v>0.80993520518358531</v>
      </c>
    </row>
    <row r="30" spans="1:5" x14ac:dyDescent="0.35">
      <c r="A30" s="1" t="s">
        <v>49</v>
      </c>
      <c r="B30" s="1" t="s">
        <v>45</v>
      </c>
      <c r="C30" s="1">
        <v>31</v>
      </c>
      <c r="D30" s="1">
        <v>1.24</v>
      </c>
      <c r="E30">
        <f t="shared" si="0"/>
        <v>8.3693304535637161</v>
      </c>
    </row>
    <row r="31" spans="1:5" x14ac:dyDescent="0.35">
      <c r="A31" s="1" t="s">
        <v>48</v>
      </c>
      <c r="B31" s="1" t="s">
        <v>45</v>
      </c>
      <c r="C31" s="1">
        <v>9</v>
      </c>
      <c r="D31" s="1">
        <v>0.36</v>
      </c>
      <c r="E31">
        <f t="shared" si="0"/>
        <v>2.4298056155507561</v>
      </c>
    </row>
    <row r="32" spans="1:5" x14ac:dyDescent="0.35">
      <c r="A32" s="1" t="s">
        <v>47</v>
      </c>
      <c r="B32" s="1" t="s">
        <v>45</v>
      </c>
      <c r="C32" s="1">
        <v>60</v>
      </c>
      <c r="D32" s="1">
        <v>2.4</v>
      </c>
      <c r="E32">
        <f t="shared" si="0"/>
        <v>16.198704103671709</v>
      </c>
    </row>
    <row r="33" spans="1:5" x14ac:dyDescent="0.35">
      <c r="A33" s="1" t="s">
        <v>46</v>
      </c>
      <c r="B33" s="1" t="s">
        <v>45</v>
      </c>
      <c r="C33" s="1">
        <v>0</v>
      </c>
      <c r="D33" s="1">
        <v>0</v>
      </c>
      <c r="E33">
        <f t="shared" si="0"/>
        <v>0</v>
      </c>
    </row>
    <row r="34" spans="1:5" x14ac:dyDescent="0.35">
      <c r="A34" s="1" t="s">
        <v>44</v>
      </c>
      <c r="B34" s="1" t="s">
        <v>42</v>
      </c>
      <c r="C34" s="1">
        <v>151</v>
      </c>
      <c r="D34" s="1">
        <v>1.6779999999999999</v>
      </c>
      <c r="E34">
        <f t="shared" si="0"/>
        <v>40.766738660907123</v>
      </c>
    </row>
    <row r="35" spans="1:5" x14ac:dyDescent="0.35">
      <c r="A35" s="1" t="s">
        <v>43</v>
      </c>
      <c r="B35" s="1" t="s">
        <v>42</v>
      </c>
      <c r="C35" s="1">
        <v>29</v>
      </c>
      <c r="D35" s="1">
        <v>0.32200000000000001</v>
      </c>
      <c r="E35">
        <f t="shared" si="0"/>
        <v>7.8293736501079909</v>
      </c>
    </row>
    <row r="36" spans="1:5" x14ac:dyDescent="0.35">
      <c r="A36" s="1" t="s">
        <v>41</v>
      </c>
      <c r="B36" s="1" t="s">
        <v>17</v>
      </c>
      <c r="C36" s="1">
        <v>11</v>
      </c>
      <c r="D36" s="1">
        <v>0.39300000000000002</v>
      </c>
      <c r="E36">
        <f t="shared" si="0"/>
        <v>2.9697624190064795</v>
      </c>
    </row>
    <row r="37" spans="1:5" x14ac:dyDescent="0.35">
      <c r="A37" s="1" t="s">
        <v>40</v>
      </c>
      <c r="B37" s="1" t="s">
        <v>17</v>
      </c>
      <c r="C37" s="1">
        <v>0</v>
      </c>
      <c r="D37" s="1">
        <v>0</v>
      </c>
      <c r="E37">
        <f t="shared" si="0"/>
        <v>0</v>
      </c>
    </row>
    <row r="38" spans="1:5" x14ac:dyDescent="0.35">
      <c r="A38" s="1" t="s">
        <v>39</v>
      </c>
      <c r="B38" s="1" t="s">
        <v>37</v>
      </c>
      <c r="C38" s="1">
        <v>42</v>
      </c>
      <c r="D38" s="1">
        <v>1.377</v>
      </c>
      <c r="E38">
        <f t="shared" si="0"/>
        <v>11.339092872570195</v>
      </c>
    </row>
    <row r="39" spans="1:5" x14ac:dyDescent="0.35">
      <c r="A39" s="1" t="s">
        <v>38</v>
      </c>
      <c r="B39" s="1" t="s">
        <v>37</v>
      </c>
      <c r="C39" s="1">
        <v>19</v>
      </c>
      <c r="D39" s="1">
        <v>0.623</v>
      </c>
      <c r="E39">
        <f t="shared" si="0"/>
        <v>5.1295896328293731</v>
      </c>
    </row>
    <row r="40" spans="1:5" x14ac:dyDescent="0.35">
      <c r="A40" s="1" t="s">
        <v>36</v>
      </c>
      <c r="B40" s="1" t="s">
        <v>34</v>
      </c>
      <c r="C40" s="1">
        <v>51</v>
      </c>
      <c r="D40" s="1">
        <v>1.7</v>
      </c>
      <c r="E40">
        <f t="shared" si="0"/>
        <v>13.76889848812095</v>
      </c>
    </row>
    <row r="41" spans="1:5" x14ac:dyDescent="0.35">
      <c r="A41" s="1" t="s">
        <v>35</v>
      </c>
      <c r="B41" s="1" t="s">
        <v>34</v>
      </c>
      <c r="C41" s="1">
        <v>9</v>
      </c>
      <c r="D41" s="1">
        <v>0.3</v>
      </c>
      <c r="E41">
        <f t="shared" si="0"/>
        <v>2.4298056155507561</v>
      </c>
    </row>
    <row r="42" spans="1:5" x14ac:dyDescent="0.35">
      <c r="A42" s="1" t="s">
        <v>33</v>
      </c>
      <c r="B42" s="1" t="s">
        <v>31</v>
      </c>
      <c r="C42" s="1">
        <v>148</v>
      </c>
      <c r="D42" s="1">
        <v>1.5029999999999999</v>
      </c>
      <c r="E42">
        <f t="shared" si="0"/>
        <v>39.956803455723538</v>
      </c>
    </row>
    <row r="43" spans="1:5" x14ac:dyDescent="0.35">
      <c r="A43" s="1" t="s">
        <v>32</v>
      </c>
      <c r="B43" s="1" t="s">
        <v>31</v>
      </c>
      <c r="C43" s="1">
        <v>49</v>
      </c>
      <c r="D43" s="1">
        <v>0.497</v>
      </c>
      <c r="E43">
        <f t="shared" si="0"/>
        <v>13.228941684665227</v>
      </c>
    </row>
    <row r="44" spans="1:5" x14ac:dyDescent="0.35">
      <c r="A44" s="1" t="s">
        <v>30</v>
      </c>
      <c r="B44" s="1" t="s">
        <v>28</v>
      </c>
      <c r="C44" s="1">
        <v>112</v>
      </c>
      <c r="D44" s="1">
        <v>1.778</v>
      </c>
      <c r="E44">
        <f t="shared" si="0"/>
        <v>30.23758099352052</v>
      </c>
    </row>
    <row r="45" spans="1:5" x14ac:dyDescent="0.35">
      <c r="A45" s="1" t="s">
        <v>29</v>
      </c>
      <c r="B45" s="1" t="s">
        <v>28</v>
      </c>
      <c r="C45" s="1">
        <v>14</v>
      </c>
      <c r="D45" s="1">
        <v>0.222</v>
      </c>
      <c r="E45">
        <f t="shared" si="0"/>
        <v>3.7796976241900651</v>
      </c>
    </row>
    <row r="46" spans="1:5" x14ac:dyDescent="0.35">
      <c r="A46" s="1" t="s">
        <v>27</v>
      </c>
      <c r="B46" s="1" t="s">
        <v>25</v>
      </c>
      <c r="C46" s="1">
        <v>54</v>
      </c>
      <c r="D46" s="1">
        <v>1.5880000000000001</v>
      </c>
      <c r="E46">
        <f t="shared" si="0"/>
        <v>14.578833693304537</v>
      </c>
    </row>
    <row r="47" spans="1:5" x14ac:dyDescent="0.35">
      <c r="A47" s="1" t="s">
        <v>26</v>
      </c>
      <c r="B47" s="1" t="s">
        <v>25</v>
      </c>
      <c r="C47" s="1">
        <v>14</v>
      </c>
      <c r="D47" s="1">
        <v>0.41199999999999998</v>
      </c>
      <c r="E47">
        <f t="shared" si="0"/>
        <v>3.7796976241900651</v>
      </c>
    </row>
    <row r="48" spans="1:5" x14ac:dyDescent="0.35">
      <c r="A48" s="1" t="s">
        <v>24</v>
      </c>
      <c r="B48" s="1" t="s">
        <v>22</v>
      </c>
      <c r="C48" s="1">
        <v>63</v>
      </c>
      <c r="D48" s="1">
        <v>1.615</v>
      </c>
      <c r="E48">
        <f t="shared" si="0"/>
        <v>17.00863930885529</v>
      </c>
    </row>
    <row r="49" spans="1:5" x14ac:dyDescent="0.35">
      <c r="A49" s="1" t="s">
        <v>23</v>
      </c>
      <c r="B49" s="1" t="s">
        <v>22</v>
      </c>
      <c r="C49" s="1">
        <v>15</v>
      </c>
      <c r="D49" s="1">
        <v>0.38500000000000001</v>
      </c>
      <c r="E49">
        <f t="shared" si="0"/>
        <v>4.0496760259179272</v>
      </c>
    </row>
    <row r="50" spans="1:5" x14ac:dyDescent="0.35">
      <c r="A50" s="1" t="s">
        <v>21</v>
      </c>
      <c r="B50" s="1" t="s">
        <v>19</v>
      </c>
      <c r="C50" s="1">
        <v>49</v>
      </c>
      <c r="D50" s="1">
        <v>1.849</v>
      </c>
      <c r="E50">
        <f t="shared" si="0"/>
        <v>13.228941684665227</v>
      </c>
    </row>
    <row r="51" spans="1:5" x14ac:dyDescent="0.35">
      <c r="A51" s="1" t="s">
        <v>20</v>
      </c>
      <c r="B51" s="1" t="s">
        <v>19</v>
      </c>
      <c r="C51" s="1">
        <v>4</v>
      </c>
      <c r="D51" s="1">
        <v>0.151</v>
      </c>
      <c r="E51">
        <f t="shared" si="0"/>
        <v>1.0799136069114472</v>
      </c>
    </row>
    <row r="52" spans="1:5" x14ac:dyDescent="0.35">
      <c r="A52" s="1" t="s">
        <v>18</v>
      </c>
      <c r="B52" s="1" t="s">
        <v>17</v>
      </c>
      <c r="C52" s="1">
        <v>73</v>
      </c>
      <c r="D52" s="1">
        <v>2.6070000000000002</v>
      </c>
      <c r="E52">
        <f t="shared" si="0"/>
        <v>19.708423326133911</v>
      </c>
    </row>
    <row r="53" spans="1:5" x14ac:dyDescent="0.35">
      <c r="A53" s="1" t="s">
        <v>16</v>
      </c>
      <c r="B53" s="1" t="s">
        <v>15</v>
      </c>
      <c r="C53" s="1">
        <v>18</v>
      </c>
      <c r="D53" s="1">
        <v>1</v>
      </c>
      <c r="E53">
        <f t="shared" si="0"/>
        <v>4.8596112311015123</v>
      </c>
    </row>
    <row r="54" spans="1:5" x14ac:dyDescent="0.35">
      <c r="A54" s="1" t="s">
        <v>14</v>
      </c>
      <c r="B54" s="1" t="s">
        <v>5</v>
      </c>
      <c r="C54" s="1">
        <v>20</v>
      </c>
      <c r="D54" s="1">
        <v>0.86299999999999999</v>
      </c>
      <c r="E54">
        <f t="shared" si="0"/>
        <v>5.3995680345572348</v>
      </c>
    </row>
    <row r="55" spans="1:5" x14ac:dyDescent="0.35">
      <c r="A55" s="1" t="s">
        <v>13</v>
      </c>
      <c r="B55" s="1" t="s">
        <v>5</v>
      </c>
      <c r="C55" s="1">
        <v>0</v>
      </c>
      <c r="D55" s="1">
        <v>0</v>
      </c>
      <c r="E55">
        <f t="shared" si="0"/>
        <v>0</v>
      </c>
    </row>
    <row r="56" spans="1:5" x14ac:dyDescent="0.35">
      <c r="A56" s="1" t="s">
        <v>12</v>
      </c>
      <c r="B56" s="1" t="s">
        <v>5</v>
      </c>
      <c r="C56" s="1">
        <v>26</v>
      </c>
      <c r="D56" s="1">
        <v>1.1220000000000001</v>
      </c>
      <c r="E56">
        <f t="shared" si="0"/>
        <v>7.0194384449244058</v>
      </c>
    </row>
    <row r="57" spans="1:5" x14ac:dyDescent="0.35">
      <c r="A57" s="1" t="s">
        <v>11</v>
      </c>
      <c r="B57" s="1" t="s">
        <v>5</v>
      </c>
      <c r="C57" s="1">
        <v>1</v>
      </c>
      <c r="D57" s="1">
        <v>4.2999999999999997E-2</v>
      </c>
      <c r="E57">
        <f t="shared" si="0"/>
        <v>0.26997840172786181</v>
      </c>
    </row>
    <row r="58" spans="1:5" x14ac:dyDescent="0.35">
      <c r="A58" s="1" t="s">
        <v>10</v>
      </c>
      <c r="B58" s="1" t="s">
        <v>8</v>
      </c>
      <c r="C58" s="1">
        <v>21</v>
      </c>
      <c r="D58" s="1">
        <v>0.48499999999999999</v>
      </c>
      <c r="E58">
        <f t="shared" si="0"/>
        <v>5.6695464362850974</v>
      </c>
    </row>
    <row r="59" spans="1:5" x14ac:dyDescent="0.35">
      <c r="A59" s="1" t="s">
        <v>9</v>
      </c>
      <c r="B59" s="1" t="s">
        <v>8</v>
      </c>
      <c r="C59" s="1">
        <v>2</v>
      </c>
      <c r="D59" s="1">
        <v>4.5999999999999999E-2</v>
      </c>
      <c r="E59">
        <f t="shared" si="0"/>
        <v>0.53995680345572361</v>
      </c>
    </row>
    <row r="60" spans="1:5" x14ac:dyDescent="0.35">
      <c r="A60" s="1" t="s">
        <v>7</v>
      </c>
      <c r="B60" s="1" t="s">
        <v>5</v>
      </c>
      <c r="C60" s="1">
        <v>83</v>
      </c>
      <c r="D60" s="1">
        <v>3.5830000000000002</v>
      </c>
      <c r="E60">
        <f t="shared" si="0"/>
        <v>22.408207343412528</v>
      </c>
    </row>
    <row r="61" spans="1:5" x14ac:dyDescent="0.35">
      <c r="A61" s="1" t="s">
        <v>6</v>
      </c>
      <c r="B61" s="1" t="s">
        <v>5</v>
      </c>
      <c r="C61" s="1">
        <v>9</v>
      </c>
      <c r="D61" s="1">
        <v>0.38800000000000001</v>
      </c>
      <c r="E61">
        <f t="shared" si="0"/>
        <v>2.4298056155507561</v>
      </c>
    </row>
    <row r="62" spans="1:5" x14ac:dyDescent="0.35">
      <c r="A62" s="1" t="s">
        <v>4</v>
      </c>
      <c r="B62" s="1" t="s">
        <v>0</v>
      </c>
      <c r="C62" s="1">
        <v>71</v>
      </c>
      <c r="D62" s="1">
        <v>1.464</v>
      </c>
      <c r="E62">
        <f t="shared" si="0"/>
        <v>19.168466522678184</v>
      </c>
    </row>
    <row r="63" spans="1:5" x14ac:dyDescent="0.35">
      <c r="A63" s="1" t="s">
        <v>3</v>
      </c>
      <c r="B63" s="1" t="s">
        <v>0</v>
      </c>
      <c r="C63" s="1">
        <v>10</v>
      </c>
      <c r="D63" s="1">
        <v>0.20599999999999999</v>
      </c>
      <c r="E63">
        <f t="shared" si="0"/>
        <v>2.6997840172786174</v>
      </c>
    </row>
    <row r="64" spans="1:5" x14ac:dyDescent="0.35">
      <c r="A64" s="1" t="s">
        <v>2</v>
      </c>
      <c r="B64" s="1" t="s">
        <v>0</v>
      </c>
      <c r="C64" s="1">
        <v>93</v>
      </c>
      <c r="D64" s="1">
        <v>1.9179999999999999</v>
      </c>
      <c r="E64">
        <f t="shared" si="0"/>
        <v>25.107991360691145</v>
      </c>
    </row>
    <row r="65" spans="1:5" x14ac:dyDescent="0.35">
      <c r="A65" s="1" t="s">
        <v>1</v>
      </c>
      <c r="B65" s="1" t="s">
        <v>0</v>
      </c>
      <c r="C65" s="1">
        <v>20</v>
      </c>
      <c r="D65" s="1">
        <v>0.41199999999999998</v>
      </c>
      <c r="E65">
        <f t="shared" si="0"/>
        <v>5.3995680345572348</v>
      </c>
    </row>
    <row r="66" spans="1:5" x14ac:dyDescent="0.35">
      <c r="C66">
        <f>SUM(C2:C65)</f>
        <v>3704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0033-AC88-4742-B7B4-9791C6B32211}">
  <dimension ref="A1:E66"/>
  <sheetViews>
    <sheetView workbookViewId="0">
      <selection activeCell="E1" sqref="E1:E1048576"/>
    </sheetView>
  </sheetViews>
  <sheetFormatPr defaultRowHeight="14.5" x14ac:dyDescent="0.35"/>
  <sheetData>
    <row r="1" spans="1:5" ht="25" customHeight="1" x14ac:dyDescent="0.35">
      <c r="A1" s="1" t="s">
        <v>88</v>
      </c>
      <c r="B1" s="1" t="s">
        <v>87</v>
      </c>
      <c r="C1" s="1" t="s">
        <v>86</v>
      </c>
      <c r="D1" s="1" t="s">
        <v>89</v>
      </c>
      <c r="E1" s="1" t="s">
        <v>91</v>
      </c>
    </row>
    <row r="2" spans="1:5" x14ac:dyDescent="0.35">
      <c r="A2" s="1" t="s">
        <v>84</v>
      </c>
      <c r="B2" s="1" t="s">
        <v>82</v>
      </c>
      <c r="C2" s="1">
        <v>319</v>
      </c>
      <c r="D2" s="1">
        <v>1.661</v>
      </c>
      <c r="E2">
        <f>(C2/3703)*1000</f>
        <v>86.146367809883884</v>
      </c>
    </row>
    <row r="3" spans="1:5" x14ac:dyDescent="0.35">
      <c r="A3" s="1" t="s">
        <v>83</v>
      </c>
      <c r="B3" s="1" t="s">
        <v>82</v>
      </c>
      <c r="C3" s="1">
        <v>65</v>
      </c>
      <c r="D3" s="1">
        <v>0.33900000000000002</v>
      </c>
      <c r="E3">
        <f t="shared" ref="E3:E65" si="0">(C3/3703)*1000</f>
        <v>17.553335133675397</v>
      </c>
    </row>
    <row r="4" spans="1:5" x14ac:dyDescent="0.35">
      <c r="A4" s="1" t="s">
        <v>81</v>
      </c>
      <c r="B4" s="1" t="s">
        <v>75</v>
      </c>
      <c r="C4" s="1">
        <v>265</v>
      </c>
      <c r="D4" s="1">
        <v>3.6469999999999998</v>
      </c>
      <c r="E4">
        <f t="shared" si="0"/>
        <v>71.563597083445856</v>
      </c>
    </row>
    <row r="5" spans="1:5" x14ac:dyDescent="0.35">
      <c r="A5" s="1" t="s">
        <v>80</v>
      </c>
      <c r="B5" s="1" t="s">
        <v>75</v>
      </c>
      <c r="C5" s="1">
        <v>58</v>
      </c>
      <c r="D5" s="1">
        <v>0.79800000000000004</v>
      </c>
      <c r="E5">
        <f t="shared" si="0"/>
        <v>15.662975965433434</v>
      </c>
    </row>
    <row r="6" spans="1:5" x14ac:dyDescent="0.35">
      <c r="A6" s="1" t="s">
        <v>79</v>
      </c>
      <c r="B6" s="1" t="s">
        <v>75</v>
      </c>
      <c r="C6" s="1">
        <v>41</v>
      </c>
      <c r="D6" s="1">
        <v>0.56399999999999995</v>
      </c>
      <c r="E6">
        <f t="shared" si="0"/>
        <v>11.072103699702943</v>
      </c>
    </row>
    <row r="7" spans="1:5" x14ac:dyDescent="0.35">
      <c r="A7" s="1" t="s">
        <v>78</v>
      </c>
      <c r="B7" s="1" t="s">
        <v>75</v>
      </c>
      <c r="C7" s="1">
        <v>1</v>
      </c>
      <c r="D7" s="1">
        <v>1.4E-2</v>
      </c>
      <c r="E7">
        <f t="shared" si="0"/>
        <v>0.27005130974885228</v>
      </c>
    </row>
    <row r="8" spans="1:5" x14ac:dyDescent="0.35">
      <c r="A8" s="1" t="s">
        <v>77</v>
      </c>
      <c r="B8" s="1" t="s">
        <v>75</v>
      </c>
      <c r="C8" s="1">
        <v>67</v>
      </c>
      <c r="D8" s="1">
        <v>0.92200000000000004</v>
      </c>
      <c r="E8">
        <f t="shared" si="0"/>
        <v>18.093437753173106</v>
      </c>
    </row>
    <row r="9" spans="1:5" x14ac:dyDescent="0.35">
      <c r="A9" s="1" t="s">
        <v>76</v>
      </c>
      <c r="B9" s="1" t="s">
        <v>75</v>
      </c>
      <c r="C9" s="1">
        <v>4</v>
      </c>
      <c r="D9" s="1">
        <v>5.5E-2</v>
      </c>
      <c r="E9">
        <f t="shared" si="0"/>
        <v>1.0802052389954091</v>
      </c>
    </row>
    <row r="10" spans="1:5" x14ac:dyDescent="0.35">
      <c r="A10" s="1" t="s">
        <v>74</v>
      </c>
      <c r="B10" s="1" t="s">
        <v>71</v>
      </c>
      <c r="C10" s="1">
        <v>276</v>
      </c>
      <c r="D10" s="1">
        <v>1.1519999999999999</v>
      </c>
      <c r="E10">
        <f t="shared" si="0"/>
        <v>74.534161490683232</v>
      </c>
    </row>
    <row r="11" spans="1:5" x14ac:dyDescent="0.35">
      <c r="A11" s="1" t="s">
        <v>73</v>
      </c>
      <c r="B11" s="1" t="s">
        <v>71</v>
      </c>
      <c r="C11" s="1">
        <v>51</v>
      </c>
      <c r="D11" s="1">
        <v>0.21299999999999999</v>
      </c>
      <c r="E11">
        <f t="shared" si="0"/>
        <v>13.772616797191468</v>
      </c>
    </row>
    <row r="12" spans="1:5" x14ac:dyDescent="0.35">
      <c r="A12" s="1" t="s">
        <v>72</v>
      </c>
      <c r="B12" s="1" t="s">
        <v>71</v>
      </c>
      <c r="C12" s="1">
        <v>392</v>
      </c>
      <c r="D12" s="1">
        <v>1.6359999999999999</v>
      </c>
      <c r="E12">
        <f t="shared" si="0"/>
        <v>105.8601134215501</v>
      </c>
    </row>
    <row r="13" spans="1:5" x14ac:dyDescent="0.35">
      <c r="A13" s="1" t="s">
        <v>70</v>
      </c>
      <c r="B13" s="1" t="s">
        <v>69</v>
      </c>
      <c r="C13" s="1">
        <v>40</v>
      </c>
      <c r="D13" s="1">
        <v>1</v>
      </c>
      <c r="E13">
        <f t="shared" si="0"/>
        <v>10.802052389954092</v>
      </c>
    </row>
    <row r="14" spans="1:5" x14ac:dyDescent="0.35">
      <c r="A14" s="1" t="s">
        <v>68</v>
      </c>
      <c r="B14" s="1" t="s">
        <v>64</v>
      </c>
      <c r="C14" s="1">
        <v>81</v>
      </c>
      <c r="D14" s="1">
        <v>1.952</v>
      </c>
      <c r="E14">
        <f t="shared" si="0"/>
        <v>21.874156089657035</v>
      </c>
    </row>
    <row r="15" spans="1:5" x14ac:dyDescent="0.35">
      <c r="A15" s="1" t="s">
        <v>67</v>
      </c>
      <c r="B15" s="1" t="s">
        <v>64</v>
      </c>
      <c r="C15" s="1">
        <v>4</v>
      </c>
      <c r="D15" s="1">
        <v>9.6000000000000002E-2</v>
      </c>
      <c r="E15">
        <f t="shared" si="0"/>
        <v>1.0802052389954091</v>
      </c>
    </row>
    <row r="16" spans="1:5" x14ac:dyDescent="0.35">
      <c r="A16" s="1" t="s">
        <v>66</v>
      </c>
      <c r="B16" s="1" t="s">
        <v>64</v>
      </c>
      <c r="C16" s="1">
        <v>76</v>
      </c>
      <c r="D16" s="1">
        <v>1.831</v>
      </c>
      <c r="E16">
        <f t="shared" si="0"/>
        <v>20.523899540912776</v>
      </c>
    </row>
    <row r="17" spans="1:5" x14ac:dyDescent="0.35">
      <c r="A17" s="1" t="s">
        <v>65</v>
      </c>
      <c r="B17" s="1" t="s">
        <v>64</v>
      </c>
      <c r="C17" s="1">
        <v>5</v>
      </c>
      <c r="D17" s="1">
        <v>0.12</v>
      </c>
      <c r="E17">
        <f t="shared" si="0"/>
        <v>1.3502565487442615</v>
      </c>
    </row>
    <row r="18" spans="1:5" x14ac:dyDescent="0.35">
      <c r="A18" s="1" t="s">
        <v>63</v>
      </c>
      <c r="B18" s="1" t="s">
        <v>8</v>
      </c>
      <c r="C18" s="1">
        <v>98</v>
      </c>
      <c r="D18" s="1">
        <v>2.085</v>
      </c>
      <c r="E18">
        <f t="shared" si="0"/>
        <v>26.465028355387524</v>
      </c>
    </row>
    <row r="19" spans="1:5" x14ac:dyDescent="0.35">
      <c r="A19" s="1" t="s">
        <v>62</v>
      </c>
      <c r="B19" s="1" t="s">
        <v>8</v>
      </c>
      <c r="C19" s="1">
        <v>14</v>
      </c>
      <c r="D19" s="1">
        <v>0.29799999999999999</v>
      </c>
      <c r="E19">
        <f t="shared" si="0"/>
        <v>3.7807183364839321</v>
      </c>
    </row>
    <row r="20" spans="1:5" x14ac:dyDescent="0.35">
      <c r="A20" s="1" t="s">
        <v>61</v>
      </c>
      <c r="B20" s="1" t="s">
        <v>8</v>
      </c>
      <c r="C20" s="1">
        <v>124</v>
      </c>
      <c r="D20" s="1">
        <v>2.6379999999999999</v>
      </c>
      <c r="E20">
        <f t="shared" si="0"/>
        <v>33.48636240885768</v>
      </c>
    </row>
    <row r="21" spans="1:5" x14ac:dyDescent="0.35">
      <c r="A21" s="1" t="s">
        <v>60</v>
      </c>
      <c r="B21" s="1" t="s">
        <v>8</v>
      </c>
      <c r="C21" s="1">
        <v>2</v>
      </c>
      <c r="D21" s="1">
        <v>4.2999999999999997E-2</v>
      </c>
      <c r="E21">
        <f t="shared" si="0"/>
        <v>0.54010261949770455</v>
      </c>
    </row>
    <row r="22" spans="1:5" x14ac:dyDescent="0.35">
      <c r="A22" s="1" t="s">
        <v>59</v>
      </c>
      <c r="B22" s="1" t="s">
        <v>55</v>
      </c>
      <c r="C22" s="1">
        <v>51</v>
      </c>
      <c r="D22" s="1">
        <v>1.5449999999999999</v>
      </c>
      <c r="E22">
        <f t="shared" si="0"/>
        <v>13.772616797191468</v>
      </c>
    </row>
    <row r="23" spans="1:5" x14ac:dyDescent="0.35">
      <c r="A23" s="1" t="s">
        <v>58</v>
      </c>
      <c r="B23" s="1" t="s">
        <v>55</v>
      </c>
      <c r="C23" s="1">
        <v>6</v>
      </c>
      <c r="D23" s="1">
        <v>0.182</v>
      </c>
      <c r="E23">
        <f t="shared" si="0"/>
        <v>1.6203078584931137</v>
      </c>
    </row>
    <row r="24" spans="1:5" x14ac:dyDescent="0.35">
      <c r="A24" s="1" t="s">
        <v>57</v>
      </c>
      <c r="B24" s="1" t="s">
        <v>55</v>
      </c>
      <c r="C24" s="1">
        <v>74</v>
      </c>
      <c r="D24" s="1">
        <v>2.242</v>
      </c>
      <c r="E24">
        <f t="shared" si="0"/>
        <v>19.983796921415067</v>
      </c>
    </row>
    <row r="25" spans="1:5" x14ac:dyDescent="0.35">
      <c r="A25" s="1" t="s">
        <v>56</v>
      </c>
      <c r="B25" s="1" t="s">
        <v>55</v>
      </c>
      <c r="C25" s="1">
        <v>1</v>
      </c>
      <c r="D25" s="1">
        <v>0.03</v>
      </c>
      <c r="E25">
        <f t="shared" si="0"/>
        <v>0.27005130974885228</v>
      </c>
    </row>
    <row r="26" spans="1:5" x14ac:dyDescent="0.35">
      <c r="A26" s="1" t="s">
        <v>54</v>
      </c>
      <c r="B26" s="1" t="s">
        <v>50</v>
      </c>
      <c r="C26" s="1">
        <v>51</v>
      </c>
      <c r="D26" s="1">
        <v>1.01</v>
      </c>
      <c r="E26">
        <f t="shared" si="0"/>
        <v>13.772616797191468</v>
      </c>
    </row>
    <row r="27" spans="1:5" x14ac:dyDescent="0.35">
      <c r="A27" s="1" t="s">
        <v>53</v>
      </c>
      <c r="B27" s="1" t="s">
        <v>50</v>
      </c>
      <c r="C27" s="1">
        <v>14</v>
      </c>
      <c r="D27" s="1">
        <v>0.27700000000000002</v>
      </c>
      <c r="E27">
        <f t="shared" si="0"/>
        <v>3.7807183364839321</v>
      </c>
    </row>
    <row r="28" spans="1:5" x14ac:dyDescent="0.35">
      <c r="A28" s="1" t="s">
        <v>52</v>
      </c>
      <c r="B28" s="1" t="s">
        <v>50</v>
      </c>
      <c r="C28" s="1">
        <v>132</v>
      </c>
      <c r="D28" s="1">
        <v>2.6139999999999999</v>
      </c>
      <c r="E28">
        <f t="shared" si="0"/>
        <v>35.646772886848503</v>
      </c>
    </row>
    <row r="29" spans="1:5" x14ac:dyDescent="0.35">
      <c r="A29" s="1" t="s">
        <v>51</v>
      </c>
      <c r="B29" s="1" t="s">
        <v>50</v>
      </c>
      <c r="C29" s="1">
        <v>5</v>
      </c>
      <c r="D29" s="1">
        <v>9.9000000000000005E-2</v>
      </c>
      <c r="E29">
        <f t="shared" si="0"/>
        <v>1.3502565487442615</v>
      </c>
    </row>
    <row r="30" spans="1:5" x14ac:dyDescent="0.35">
      <c r="A30" s="1" t="s">
        <v>49</v>
      </c>
      <c r="B30" s="1" t="s">
        <v>45</v>
      </c>
      <c r="C30" s="1">
        <v>36</v>
      </c>
      <c r="D30" s="1">
        <v>1.385</v>
      </c>
      <c r="E30">
        <f t="shared" si="0"/>
        <v>9.7218471509586823</v>
      </c>
    </row>
    <row r="31" spans="1:5" x14ac:dyDescent="0.35">
      <c r="A31" s="1" t="s">
        <v>48</v>
      </c>
      <c r="B31" s="1" t="s">
        <v>45</v>
      </c>
      <c r="C31" s="1">
        <v>14</v>
      </c>
      <c r="D31" s="1">
        <v>0.53800000000000003</v>
      </c>
      <c r="E31">
        <f t="shared" si="0"/>
        <v>3.7807183364839321</v>
      </c>
    </row>
    <row r="32" spans="1:5" x14ac:dyDescent="0.35">
      <c r="A32" s="1" t="s">
        <v>47</v>
      </c>
      <c r="B32" s="1" t="s">
        <v>45</v>
      </c>
      <c r="C32" s="1">
        <v>53</v>
      </c>
      <c r="D32" s="1">
        <v>2.0379999999999998</v>
      </c>
      <c r="E32">
        <f t="shared" si="0"/>
        <v>14.312719416689172</v>
      </c>
    </row>
    <row r="33" spans="1:5" x14ac:dyDescent="0.35">
      <c r="A33" s="1" t="s">
        <v>46</v>
      </c>
      <c r="B33" s="1" t="s">
        <v>45</v>
      </c>
      <c r="C33" s="1">
        <v>1</v>
      </c>
      <c r="D33" s="1">
        <v>3.7999999999999999E-2</v>
      </c>
      <c r="E33">
        <f t="shared" si="0"/>
        <v>0.27005130974885228</v>
      </c>
    </row>
    <row r="34" spans="1:5" x14ac:dyDescent="0.35">
      <c r="A34" s="1" t="s">
        <v>44</v>
      </c>
      <c r="B34" s="1" t="s">
        <v>42</v>
      </c>
      <c r="C34" s="1">
        <v>152</v>
      </c>
      <c r="D34" s="1">
        <v>1.6339999999999999</v>
      </c>
      <c r="E34">
        <f t="shared" si="0"/>
        <v>41.047799081825552</v>
      </c>
    </row>
    <row r="35" spans="1:5" x14ac:dyDescent="0.35">
      <c r="A35" s="1" t="s">
        <v>43</v>
      </c>
      <c r="B35" s="1" t="s">
        <v>42</v>
      </c>
      <c r="C35" s="1">
        <v>34</v>
      </c>
      <c r="D35" s="1">
        <v>0.36599999999999999</v>
      </c>
      <c r="E35">
        <f t="shared" si="0"/>
        <v>9.1817445314609785</v>
      </c>
    </row>
    <row r="36" spans="1:5" x14ac:dyDescent="0.35">
      <c r="A36" s="1" t="s">
        <v>41</v>
      </c>
      <c r="B36" s="1" t="s">
        <v>17</v>
      </c>
      <c r="C36" s="1">
        <v>9</v>
      </c>
      <c r="D36" s="1">
        <v>0.32500000000000001</v>
      </c>
      <c r="E36">
        <f t="shared" si="0"/>
        <v>2.4304617877396706</v>
      </c>
    </row>
    <row r="37" spans="1:5" x14ac:dyDescent="0.35">
      <c r="A37" s="1" t="s">
        <v>40</v>
      </c>
      <c r="B37" s="1" t="s">
        <v>17</v>
      </c>
      <c r="C37" s="1">
        <v>1</v>
      </c>
      <c r="D37" s="1">
        <v>3.5999999999999997E-2</v>
      </c>
      <c r="E37">
        <f t="shared" si="0"/>
        <v>0.27005130974885228</v>
      </c>
    </row>
    <row r="38" spans="1:5" x14ac:dyDescent="0.35">
      <c r="A38" s="1" t="s">
        <v>39</v>
      </c>
      <c r="B38" s="1" t="s">
        <v>37</v>
      </c>
      <c r="C38" s="1">
        <v>46</v>
      </c>
      <c r="D38" s="1">
        <v>1.5589999999999999</v>
      </c>
      <c r="E38">
        <f t="shared" si="0"/>
        <v>12.422360248447204</v>
      </c>
    </row>
    <row r="39" spans="1:5" x14ac:dyDescent="0.35">
      <c r="A39" s="1" t="s">
        <v>38</v>
      </c>
      <c r="B39" s="1" t="s">
        <v>37</v>
      </c>
      <c r="C39" s="1">
        <v>13</v>
      </c>
      <c r="D39" s="1">
        <v>0.441</v>
      </c>
      <c r="E39">
        <f t="shared" si="0"/>
        <v>3.5106670267350797</v>
      </c>
    </row>
    <row r="40" spans="1:5" x14ac:dyDescent="0.35">
      <c r="A40" s="1" t="s">
        <v>36</v>
      </c>
      <c r="B40" s="1" t="s">
        <v>34</v>
      </c>
      <c r="C40" s="1">
        <v>54</v>
      </c>
      <c r="D40" s="1">
        <v>1.6359999999999999</v>
      </c>
      <c r="E40">
        <f t="shared" si="0"/>
        <v>14.582770726438023</v>
      </c>
    </row>
    <row r="41" spans="1:5" x14ac:dyDescent="0.35">
      <c r="A41" s="1" t="s">
        <v>35</v>
      </c>
      <c r="B41" s="1" t="s">
        <v>34</v>
      </c>
      <c r="C41" s="1">
        <v>12</v>
      </c>
      <c r="D41" s="1">
        <v>0.36399999999999999</v>
      </c>
      <c r="E41">
        <f t="shared" si="0"/>
        <v>3.2406157169862273</v>
      </c>
    </row>
    <row r="42" spans="1:5" x14ac:dyDescent="0.35">
      <c r="A42" s="1" t="s">
        <v>33</v>
      </c>
      <c r="B42" s="1" t="s">
        <v>31</v>
      </c>
      <c r="C42" s="1">
        <v>138</v>
      </c>
      <c r="D42" s="1">
        <v>1.492</v>
      </c>
      <c r="E42">
        <f t="shared" si="0"/>
        <v>37.267080745341616</v>
      </c>
    </row>
    <row r="43" spans="1:5" x14ac:dyDescent="0.35">
      <c r="A43" s="1" t="s">
        <v>32</v>
      </c>
      <c r="B43" s="1" t="s">
        <v>31</v>
      </c>
      <c r="C43" s="1">
        <v>47</v>
      </c>
      <c r="D43" s="1">
        <v>0.50800000000000001</v>
      </c>
      <c r="E43">
        <f t="shared" si="0"/>
        <v>12.692411558196058</v>
      </c>
    </row>
    <row r="44" spans="1:5" x14ac:dyDescent="0.35">
      <c r="A44" s="1" t="s">
        <v>30</v>
      </c>
      <c r="B44" s="1" t="s">
        <v>28</v>
      </c>
      <c r="C44" s="1">
        <v>104</v>
      </c>
      <c r="D44" s="1">
        <v>1.677</v>
      </c>
      <c r="E44">
        <f t="shared" si="0"/>
        <v>28.085336213880638</v>
      </c>
    </row>
    <row r="45" spans="1:5" x14ac:dyDescent="0.35">
      <c r="A45" s="1" t="s">
        <v>29</v>
      </c>
      <c r="B45" s="1" t="s">
        <v>28</v>
      </c>
      <c r="C45" s="1">
        <v>20</v>
      </c>
      <c r="D45" s="1">
        <v>0.32300000000000001</v>
      </c>
      <c r="E45">
        <f t="shared" si="0"/>
        <v>5.4010261949770459</v>
      </c>
    </row>
    <row r="46" spans="1:5" x14ac:dyDescent="0.35">
      <c r="A46" s="1" t="s">
        <v>27</v>
      </c>
      <c r="B46" s="1" t="s">
        <v>25</v>
      </c>
      <c r="C46" s="1">
        <v>64</v>
      </c>
      <c r="D46" s="1">
        <v>1.73</v>
      </c>
      <c r="E46">
        <f t="shared" si="0"/>
        <v>17.283283823926546</v>
      </c>
    </row>
    <row r="47" spans="1:5" x14ac:dyDescent="0.35">
      <c r="A47" s="1" t="s">
        <v>26</v>
      </c>
      <c r="B47" s="1" t="s">
        <v>25</v>
      </c>
      <c r="C47" s="1">
        <v>10</v>
      </c>
      <c r="D47" s="1">
        <v>0.27</v>
      </c>
      <c r="E47">
        <f t="shared" si="0"/>
        <v>2.700513097488523</v>
      </c>
    </row>
    <row r="48" spans="1:5" x14ac:dyDescent="0.35">
      <c r="A48" s="1" t="s">
        <v>24</v>
      </c>
      <c r="B48" s="1" t="s">
        <v>22</v>
      </c>
      <c r="C48" s="1">
        <v>57</v>
      </c>
      <c r="D48" s="1">
        <v>1.5409999999999999</v>
      </c>
      <c r="E48">
        <f t="shared" si="0"/>
        <v>15.392924655684579</v>
      </c>
    </row>
    <row r="49" spans="1:5" x14ac:dyDescent="0.35">
      <c r="A49" s="1" t="s">
        <v>23</v>
      </c>
      <c r="B49" s="1" t="s">
        <v>22</v>
      </c>
      <c r="C49" s="1">
        <v>17</v>
      </c>
      <c r="D49" s="1">
        <v>0.45900000000000002</v>
      </c>
      <c r="E49">
        <f t="shared" si="0"/>
        <v>4.5908722657304892</v>
      </c>
    </row>
    <row r="50" spans="1:5" x14ac:dyDescent="0.35">
      <c r="A50" s="1" t="s">
        <v>21</v>
      </c>
      <c r="B50" s="1" t="s">
        <v>19</v>
      </c>
      <c r="C50" s="1">
        <v>44</v>
      </c>
      <c r="D50" s="1">
        <v>1.6919999999999999</v>
      </c>
      <c r="E50">
        <f t="shared" si="0"/>
        <v>11.8822576289495</v>
      </c>
    </row>
    <row r="51" spans="1:5" x14ac:dyDescent="0.35">
      <c r="A51" s="1" t="s">
        <v>20</v>
      </c>
      <c r="B51" s="1" t="s">
        <v>19</v>
      </c>
      <c r="C51" s="1">
        <v>8</v>
      </c>
      <c r="D51" s="1">
        <v>0.308</v>
      </c>
      <c r="E51">
        <f t="shared" si="0"/>
        <v>2.1604104779908182</v>
      </c>
    </row>
    <row r="52" spans="1:5" x14ac:dyDescent="0.35">
      <c r="A52" s="1" t="s">
        <v>18</v>
      </c>
      <c r="B52" s="1" t="s">
        <v>17</v>
      </c>
      <c r="C52" s="1">
        <v>73</v>
      </c>
      <c r="D52" s="1">
        <v>2.6389999999999998</v>
      </c>
      <c r="E52">
        <f t="shared" si="0"/>
        <v>19.713745611666216</v>
      </c>
    </row>
    <row r="53" spans="1:5" x14ac:dyDescent="0.35">
      <c r="A53" s="1" t="s">
        <v>16</v>
      </c>
      <c r="B53" s="1" t="s">
        <v>15</v>
      </c>
      <c r="C53" s="1">
        <v>20</v>
      </c>
      <c r="D53" s="1">
        <v>1</v>
      </c>
      <c r="E53">
        <f t="shared" si="0"/>
        <v>5.4010261949770459</v>
      </c>
    </row>
    <row r="54" spans="1:5" x14ac:dyDescent="0.35">
      <c r="A54" s="1" t="s">
        <v>14</v>
      </c>
      <c r="B54" s="1" t="s">
        <v>5</v>
      </c>
      <c r="C54" s="1">
        <v>16</v>
      </c>
      <c r="D54" s="1">
        <v>0.76800000000000002</v>
      </c>
      <c r="E54">
        <f t="shared" si="0"/>
        <v>4.3208209559816364</v>
      </c>
    </row>
    <row r="55" spans="1:5" x14ac:dyDescent="0.35">
      <c r="A55" s="1" t="s">
        <v>13</v>
      </c>
      <c r="B55" s="1" t="s">
        <v>5</v>
      </c>
      <c r="C55" s="1">
        <v>1</v>
      </c>
      <c r="D55" s="1">
        <v>4.8000000000000001E-2</v>
      </c>
      <c r="E55">
        <f t="shared" si="0"/>
        <v>0.27005130974885228</v>
      </c>
    </row>
    <row r="56" spans="1:5" x14ac:dyDescent="0.35">
      <c r="A56" s="1" t="s">
        <v>12</v>
      </c>
      <c r="B56" s="1" t="s">
        <v>5</v>
      </c>
      <c r="C56" s="1">
        <v>28</v>
      </c>
      <c r="D56" s="1">
        <v>1.3440000000000001</v>
      </c>
      <c r="E56">
        <f t="shared" si="0"/>
        <v>7.5614366729678641</v>
      </c>
    </row>
    <row r="57" spans="1:5" x14ac:dyDescent="0.35">
      <c r="A57" s="1" t="s">
        <v>11</v>
      </c>
      <c r="B57" s="1" t="s">
        <v>5</v>
      </c>
      <c r="C57" s="1">
        <v>2</v>
      </c>
      <c r="D57" s="1">
        <v>9.6000000000000002E-2</v>
      </c>
      <c r="E57">
        <f t="shared" si="0"/>
        <v>0.54010261949770455</v>
      </c>
    </row>
    <row r="58" spans="1:5" x14ac:dyDescent="0.35">
      <c r="A58" s="1" t="s">
        <v>10</v>
      </c>
      <c r="B58" s="1" t="s">
        <v>8</v>
      </c>
      <c r="C58" s="1">
        <v>38</v>
      </c>
      <c r="D58" s="1">
        <v>0.80900000000000005</v>
      </c>
      <c r="E58">
        <f t="shared" si="0"/>
        <v>10.261949770456388</v>
      </c>
    </row>
    <row r="59" spans="1:5" x14ac:dyDescent="0.35">
      <c r="A59" s="1" t="s">
        <v>9</v>
      </c>
      <c r="B59" s="1" t="s">
        <v>8</v>
      </c>
      <c r="C59" s="1">
        <v>6</v>
      </c>
      <c r="D59" s="1">
        <v>0.128</v>
      </c>
      <c r="E59">
        <f t="shared" si="0"/>
        <v>1.6203078584931137</v>
      </c>
    </row>
    <row r="60" spans="1:5" x14ac:dyDescent="0.35">
      <c r="A60" s="1" t="s">
        <v>7</v>
      </c>
      <c r="B60" s="1" t="s">
        <v>5</v>
      </c>
      <c r="C60" s="1">
        <v>70</v>
      </c>
      <c r="D60" s="1">
        <v>3.36</v>
      </c>
      <c r="E60">
        <f t="shared" si="0"/>
        <v>18.903591682419659</v>
      </c>
    </row>
    <row r="61" spans="1:5" x14ac:dyDescent="0.35">
      <c r="A61" s="1" t="s">
        <v>6</v>
      </c>
      <c r="B61" s="1" t="s">
        <v>5</v>
      </c>
      <c r="C61" s="1">
        <v>8</v>
      </c>
      <c r="D61" s="1">
        <v>0.38400000000000001</v>
      </c>
      <c r="E61">
        <f t="shared" si="0"/>
        <v>2.1604104779908182</v>
      </c>
    </row>
    <row r="62" spans="1:5" x14ac:dyDescent="0.35">
      <c r="A62" s="1" t="s">
        <v>4</v>
      </c>
      <c r="B62" s="1" t="s">
        <v>0</v>
      </c>
      <c r="C62" s="1">
        <v>73</v>
      </c>
      <c r="D62" s="1">
        <v>1.5369999999999999</v>
      </c>
      <c r="E62">
        <f t="shared" si="0"/>
        <v>19.713745611666216</v>
      </c>
    </row>
    <row r="63" spans="1:5" x14ac:dyDescent="0.35">
      <c r="A63" s="1" t="s">
        <v>3</v>
      </c>
      <c r="B63" s="1" t="s">
        <v>0</v>
      </c>
      <c r="C63" s="1">
        <v>10</v>
      </c>
      <c r="D63" s="1">
        <v>0.21099999999999999</v>
      </c>
      <c r="E63">
        <f t="shared" si="0"/>
        <v>2.700513097488523</v>
      </c>
    </row>
    <row r="64" spans="1:5" x14ac:dyDescent="0.35">
      <c r="A64" s="1" t="s">
        <v>2</v>
      </c>
      <c r="B64" s="1" t="s">
        <v>0</v>
      </c>
      <c r="C64" s="1">
        <v>89</v>
      </c>
      <c r="D64" s="1">
        <v>1.8740000000000001</v>
      </c>
      <c r="E64">
        <f t="shared" si="0"/>
        <v>24.034566567647854</v>
      </c>
    </row>
    <row r="65" spans="1:5" x14ac:dyDescent="0.35">
      <c r="A65" s="1" t="s">
        <v>1</v>
      </c>
      <c r="B65" s="1" t="s">
        <v>0</v>
      </c>
      <c r="C65" s="1">
        <v>18</v>
      </c>
      <c r="D65" s="1">
        <v>0.379</v>
      </c>
      <c r="E65">
        <f t="shared" si="0"/>
        <v>4.8609235754793412</v>
      </c>
    </row>
    <row r="66" spans="1:5" x14ac:dyDescent="0.35">
      <c r="C66">
        <f>SUM(C2:C65)</f>
        <v>3703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5593-A7E8-4867-A4A2-6E897B6DB98B}">
  <dimension ref="A1:E66"/>
  <sheetViews>
    <sheetView workbookViewId="0">
      <selection activeCell="E1" sqref="E1:E1048576"/>
    </sheetView>
  </sheetViews>
  <sheetFormatPr defaultRowHeight="14.5" x14ac:dyDescent="0.35"/>
  <sheetData>
    <row r="1" spans="1:5" x14ac:dyDescent="0.35">
      <c r="A1" s="1" t="s">
        <v>88</v>
      </c>
      <c r="B1" s="1" t="s">
        <v>87</v>
      </c>
      <c r="C1" s="1" t="s">
        <v>86</v>
      </c>
      <c r="D1" s="1" t="s">
        <v>89</v>
      </c>
      <c r="E1" s="1" t="s">
        <v>92</v>
      </c>
    </row>
    <row r="2" spans="1:5" x14ac:dyDescent="0.35">
      <c r="A2" s="1" t="s">
        <v>84</v>
      </c>
      <c r="B2" s="1" t="s">
        <v>82</v>
      </c>
      <c r="C2" s="1">
        <v>299</v>
      </c>
      <c r="D2" s="1">
        <v>1.6659999999999999</v>
      </c>
      <c r="E2">
        <f>(C2/3683)*1000</f>
        <v>81.183817540048878</v>
      </c>
    </row>
    <row r="3" spans="1:5" x14ac:dyDescent="0.35">
      <c r="A3" s="1" t="s">
        <v>83</v>
      </c>
      <c r="B3" s="1" t="s">
        <v>82</v>
      </c>
      <c r="C3" s="1">
        <v>60</v>
      </c>
      <c r="D3" s="1">
        <v>0.33400000000000002</v>
      </c>
      <c r="E3">
        <f t="shared" ref="E3:E65" si="0">(C3/3683)*1000</f>
        <v>16.291067064892751</v>
      </c>
    </row>
    <row r="4" spans="1:5" x14ac:dyDescent="0.35">
      <c r="A4" s="1" t="s">
        <v>81</v>
      </c>
      <c r="B4" s="1" t="s">
        <v>75</v>
      </c>
      <c r="C4" s="1">
        <v>267</v>
      </c>
      <c r="D4" s="1">
        <v>3.5760000000000001</v>
      </c>
      <c r="E4">
        <f t="shared" si="0"/>
        <v>72.495248438772734</v>
      </c>
    </row>
    <row r="5" spans="1:5" x14ac:dyDescent="0.35">
      <c r="A5" s="1" t="s">
        <v>80</v>
      </c>
      <c r="B5" s="1" t="s">
        <v>75</v>
      </c>
      <c r="C5" s="1">
        <v>59</v>
      </c>
      <c r="D5" s="1">
        <v>0.79</v>
      </c>
      <c r="E5">
        <f t="shared" si="0"/>
        <v>16.019549280477872</v>
      </c>
    </row>
    <row r="6" spans="1:5" x14ac:dyDescent="0.35">
      <c r="A6" s="1" t="s">
        <v>79</v>
      </c>
      <c r="B6" s="1" t="s">
        <v>75</v>
      </c>
      <c r="C6" s="1">
        <v>44</v>
      </c>
      <c r="D6" s="1">
        <v>0.58899999999999997</v>
      </c>
      <c r="E6">
        <f t="shared" si="0"/>
        <v>11.946782514254684</v>
      </c>
    </row>
    <row r="7" spans="1:5" x14ac:dyDescent="0.35">
      <c r="A7" s="1" t="s">
        <v>78</v>
      </c>
      <c r="B7" s="1" t="s">
        <v>75</v>
      </c>
      <c r="C7" s="1">
        <v>5</v>
      </c>
      <c r="D7" s="1">
        <v>6.7000000000000004E-2</v>
      </c>
      <c r="E7">
        <f t="shared" si="0"/>
        <v>1.3575889220743957</v>
      </c>
    </row>
    <row r="8" spans="1:5" x14ac:dyDescent="0.35">
      <c r="A8" s="1" t="s">
        <v>77</v>
      </c>
      <c r="B8" s="1" t="s">
        <v>75</v>
      </c>
      <c r="C8" s="1">
        <v>69</v>
      </c>
      <c r="D8" s="1">
        <v>0.92400000000000004</v>
      </c>
      <c r="E8">
        <f t="shared" si="0"/>
        <v>18.734727124626662</v>
      </c>
    </row>
    <row r="9" spans="1:5" x14ac:dyDescent="0.35">
      <c r="A9" s="1" t="s">
        <v>76</v>
      </c>
      <c r="B9" s="1" t="s">
        <v>75</v>
      </c>
      <c r="C9" s="1">
        <v>4</v>
      </c>
      <c r="D9" s="1">
        <v>5.3999999999999999E-2</v>
      </c>
      <c r="E9">
        <f t="shared" si="0"/>
        <v>1.0860711376595167</v>
      </c>
    </row>
    <row r="10" spans="1:5" x14ac:dyDescent="0.35">
      <c r="A10" s="1" t="s">
        <v>74</v>
      </c>
      <c r="B10" s="1" t="s">
        <v>71</v>
      </c>
      <c r="C10" s="1">
        <v>299</v>
      </c>
      <c r="D10" s="1">
        <v>1.2529999999999999</v>
      </c>
      <c r="E10">
        <f t="shared" si="0"/>
        <v>81.183817540048878</v>
      </c>
    </row>
    <row r="11" spans="1:5" x14ac:dyDescent="0.35">
      <c r="A11" s="1" t="s">
        <v>73</v>
      </c>
      <c r="B11" s="1" t="s">
        <v>71</v>
      </c>
      <c r="C11" s="1">
        <v>55</v>
      </c>
      <c r="D11" s="1">
        <v>0.23</v>
      </c>
      <c r="E11">
        <f t="shared" si="0"/>
        <v>14.933478142818354</v>
      </c>
    </row>
    <row r="12" spans="1:5" x14ac:dyDescent="0.35">
      <c r="A12" s="1" t="s">
        <v>72</v>
      </c>
      <c r="B12" s="1" t="s">
        <v>71</v>
      </c>
      <c r="C12" s="1">
        <v>362</v>
      </c>
      <c r="D12" s="1">
        <v>1.5169999999999999</v>
      </c>
      <c r="E12">
        <f t="shared" si="0"/>
        <v>98.289437958186255</v>
      </c>
    </row>
    <row r="13" spans="1:5" x14ac:dyDescent="0.35">
      <c r="A13" s="1" t="s">
        <v>70</v>
      </c>
      <c r="B13" s="1" t="s">
        <v>69</v>
      </c>
      <c r="C13" s="1">
        <v>39</v>
      </c>
      <c r="D13" s="1">
        <v>1</v>
      </c>
      <c r="E13">
        <f t="shared" si="0"/>
        <v>10.589193592180287</v>
      </c>
    </row>
    <row r="14" spans="1:5" x14ac:dyDescent="0.35">
      <c r="A14" s="1" t="s">
        <v>68</v>
      </c>
      <c r="B14" s="1" t="s">
        <v>64</v>
      </c>
      <c r="C14" s="1">
        <v>86</v>
      </c>
      <c r="D14" s="1">
        <v>2.06</v>
      </c>
      <c r="E14">
        <f t="shared" si="0"/>
        <v>23.35052945967961</v>
      </c>
    </row>
    <row r="15" spans="1:5" x14ac:dyDescent="0.35">
      <c r="A15" s="1" t="s">
        <v>67</v>
      </c>
      <c r="B15" s="1" t="s">
        <v>64</v>
      </c>
      <c r="C15" s="1">
        <v>8</v>
      </c>
      <c r="D15" s="1">
        <v>0.192</v>
      </c>
      <c r="E15">
        <f t="shared" si="0"/>
        <v>2.1721422753190334</v>
      </c>
    </row>
    <row r="16" spans="1:5" x14ac:dyDescent="0.35">
      <c r="A16" s="1" t="s">
        <v>66</v>
      </c>
      <c r="B16" s="1" t="s">
        <v>64</v>
      </c>
      <c r="C16" s="1">
        <v>67</v>
      </c>
      <c r="D16" s="1">
        <v>1.605</v>
      </c>
      <c r="E16">
        <f t="shared" si="0"/>
        <v>18.191691555796904</v>
      </c>
    </row>
    <row r="17" spans="1:5" x14ac:dyDescent="0.35">
      <c r="A17" s="1" t="s">
        <v>65</v>
      </c>
      <c r="B17" s="1" t="s">
        <v>64</v>
      </c>
      <c r="C17" s="1">
        <v>6</v>
      </c>
      <c r="D17" s="1">
        <v>0.14399999999999999</v>
      </c>
      <c r="E17">
        <f t="shared" si="0"/>
        <v>1.629106706489275</v>
      </c>
    </row>
    <row r="18" spans="1:5" x14ac:dyDescent="0.35">
      <c r="A18" s="1" t="s">
        <v>63</v>
      </c>
      <c r="B18" s="1" t="s">
        <v>8</v>
      </c>
      <c r="C18" s="1">
        <v>92</v>
      </c>
      <c r="D18" s="1">
        <v>2.0289999999999999</v>
      </c>
      <c r="E18">
        <f t="shared" si="0"/>
        <v>24.979636166168884</v>
      </c>
    </row>
    <row r="19" spans="1:5" x14ac:dyDescent="0.35">
      <c r="A19" s="1" t="s">
        <v>62</v>
      </c>
      <c r="B19" s="1" t="s">
        <v>8</v>
      </c>
      <c r="C19" s="1">
        <v>15</v>
      </c>
      <c r="D19" s="1">
        <v>0.33100000000000002</v>
      </c>
      <c r="E19">
        <f t="shared" si="0"/>
        <v>4.0727667662231877</v>
      </c>
    </row>
    <row r="20" spans="1:5" x14ac:dyDescent="0.35">
      <c r="A20" s="1" t="s">
        <v>61</v>
      </c>
      <c r="B20" s="1" t="s">
        <v>8</v>
      </c>
      <c r="C20" s="1">
        <v>121</v>
      </c>
      <c r="D20" s="1">
        <v>2.669</v>
      </c>
      <c r="E20">
        <f t="shared" si="0"/>
        <v>32.853651914200377</v>
      </c>
    </row>
    <row r="21" spans="1:5" x14ac:dyDescent="0.35">
      <c r="A21" s="1" t="s">
        <v>60</v>
      </c>
      <c r="B21" s="1" t="s">
        <v>8</v>
      </c>
      <c r="C21" s="1">
        <v>5</v>
      </c>
      <c r="D21" s="1">
        <v>0.11</v>
      </c>
      <c r="E21">
        <f t="shared" si="0"/>
        <v>1.3575889220743957</v>
      </c>
    </row>
    <row r="22" spans="1:5" x14ac:dyDescent="0.35">
      <c r="A22" s="1" t="s">
        <v>59</v>
      </c>
      <c r="B22" s="1" t="s">
        <v>55</v>
      </c>
      <c r="C22" s="1">
        <v>47</v>
      </c>
      <c r="D22" s="1">
        <v>1.403</v>
      </c>
      <c r="E22">
        <f t="shared" si="0"/>
        <v>12.761335867499321</v>
      </c>
    </row>
    <row r="23" spans="1:5" x14ac:dyDescent="0.35">
      <c r="A23" s="1" t="s">
        <v>58</v>
      </c>
      <c r="B23" s="1" t="s">
        <v>55</v>
      </c>
      <c r="C23" s="1">
        <v>14</v>
      </c>
      <c r="D23" s="1">
        <v>0.41799999999999998</v>
      </c>
      <c r="E23">
        <f t="shared" si="0"/>
        <v>3.8012489818083086</v>
      </c>
    </row>
    <row r="24" spans="1:5" x14ac:dyDescent="0.35">
      <c r="A24" s="1" t="s">
        <v>57</v>
      </c>
      <c r="B24" s="1" t="s">
        <v>55</v>
      </c>
      <c r="C24" s="1">
        <v>70</v>
      </c>
      <c r="D24" s="1">
        <v>2.09</v>
      </c>
      <c r="E24">
        <f t="shared" si="0"/>
        <v>19.006244909041541</v>
      </c>
    </row>
    <row r="25" spans="1:5" x14ac:dyDescent="0.35">
      <c r="A25" s="1" t="s">
        <v>56</v>
      </c>
      <c r="B25" s="1" t="s">
        <v>55</v>
      </c>
      <c r="C25" s="1">
        <v>3</v>
      </c>
      <c r="D25" s="1">
        <v>0.09</v>
      </c>
      <c r="E25">
        <f t="shared" si="0"/>
        <v>0.81455335324463751</v>
      </c>
    </row>
    <row r="26" spans="1:5" x14ac:dyDescent="0.35">
      <c r="A26" s="1" t="s">
        <v>54</v>
      </c>
      <c r="B26" s="1" t="s">
        <v>50</v>
      </c>
      <c r="C26" s="1">
        <v>49</v>
      </c>
      <c r="D26" s="1">
        <v>0.91600000000000004</v>
      </c>
      <c r="E26">
        <f t="shared" si="0"/>
        <v>13.304371436329079</v>
      </c>
    </row>
    <row r="27" spans="1:5" x14ac:dyDescent="0.35">
      <c r="A27" s="1" t="s">
        <v>53</v>
      </c>
      <c r="B27" s="1" t="s">
        <v>50</v>
      </c>
      <c r="C27" s="1">
        <v>33</v>
      </c>
      <c r="D27" s="1">
        <v>0.61699999999999999</v>
      </c>
      <c r="E27">
        <f t="shared" si="0"/>
        <v>8.9600868856910125</v>
      </c>
    </row>
    <row r="28" spans="1:5" x14ac:dyDescent="0.35">
      <c r="A28" s="1" t="s">
        <v>52</v>
      </c>
      <c r="B28" s="1" t="s">
        <v>50</v>
      </c>
      <c r="C28" s="1">
        <v>127</v>
      </c>
      <c r="D28" s="1">
        <v>2.3740000000000001</v>
      </c>
      <c r="E28">
        <f t="shared" si="0"/>
        <v>34.482758620689651</v>
      </c>
    </row>
    <row r="29" spans="1:5" x14ac:dyDescent="0.35">
      <c r="A29" s="1" t="s">
        <v>51</v>
      </c>
      <c r="B29" s="1" t="s">
        <v>50</v>
      </c>
      <c r="C29" s="1">
        <v>5</v>
      </c>
      <c r="D29" s="1">
        <v>9.2999999999999999E-2</v>
      </c>
      <c r="E29">
        <f t="shared" si="0"/>
        <v>1.3575889220743957</v>
      </c>
    </row>
    <row r="30" spans="1:5" x14ac:dyDescent="0.35">
      <c r="A30" s="1" t="s">
        <v>49</v>
      </c>
      <c r="B30" s="1" t="s">
        <v>45</v>
      </c>
      <c r="C30" s="1">
        <v>39</v>
      </c>
      <c r="D30" s="1">
        <v>1.5760000000000001</v>
      </c>
      <c r="E30">
        <f t="shared" si="0"/>
        <v>10.589193592180287</v>
      </c>
    </row>
    <row r="31" spans="1:5" x14ac:dyDescent="0.35">
      <c r="A31" s="1" t="s">
        <v>48</v>
      </c>
      <c r="B31" s="1" t="s">
        <v>45</v>
      </c>
      <c r="C31" s="1">
        <v>15</v>
      </c>
      <c r="D31" s="1">
        <v>0.60599999999999998</v>
      </c>
      <c r="E31">
        <f t="shared" si="0"/>
        <v>4.0727667662231877</v>
      </c>
    </row>
    <row r="32" spans="1:5" x14ac:dyDescent="0.35">
      <c r="A32" s="1" t="s">
        <v>47</v>
      </c>
      <c r="B32" s="1" t="s">
        <v>45</v>
      </c>
      <c r="C32" s="1">
        <v>43</v>
      </c>
      <c r="D32" s="1">
        <v>1.7370000000000001</v>
      </c>
      <c r="E32">
        <f t="shared" si="0"/>
        <v>11.675264729839805</v>
      </c>
    </row>
    <row r="33" spans="1:5" x14ac:dyDescent="0.35">
      <c r="A33" s="1" t="s">
        <v>46</v>
      </c>
      <c r="B33" s="1" t="s">
        <v>45</v>
      </c>
      <c r="C33" s="1">
        <v>2</v>
      </c>
      <c r="D33" s="1">
        <v>8.1000000000000003E-2</v>
      </c>
      <c r="E33">
        <f t="shared" si="0"/>
        <v>0.54303556882975834</v>
      </c>
    </row>
    <row r="34" spans="1:5" x14ac:dyDescent="0.35">
      <c r="A34" s="1" t="s">
        <v>44</v>
      </c>
      <c r="B34" s="1" t="s">
        <v>42</v>
      </c>
      <c r="C34" s="1">
        <v>148</v>
      </c>
      <c r="D34" s="1">
        <v>1.6910000000000001</v>
      </c>
      <c r="E34">
        <f t="shared" si="0"/>
        <v>40.184632093402115</v>
      </c>
    </row>
    <row r="35" spans="1:5" x14ac:dyDescent="0.35">
      <c r="A35" s="1" t="s">
        <v>43</v>
      </c>
      <c r="B35" s="1" t="s">
        <v>42</v>
      </c>
      <c r="C35" s="1">
        <v>27</v>
      </c>
      <c r="D35" s="1">
        <v>0.309</v>
      </c>
      <c r="E35">
        <f t="shared" si="0"/>
        <v>7.3309801792017373</v>
      </c>
    </row>
    <row r="36" spans="1:5" x14ac:dyDescent="0.35">
      <c r="A36" s="1" t="s">
        <v>41</v>
      </c>
      <c r="B36" s="1" t="s">
        <v>17</v>
      </c>
      <c r="C36" s="1">
        <v>8</v>
      </c>
      <c r="D36" s="1">
        <v>0.28599999999999998</v>
      </c>
      <c r="E36">
        <f t="shared" si="0"/>
        <v>2.1721422753190334</v>
      </c>
    </row>
    <row r="37" spans="1:5" x14ac:dyDescent="0.35">
      <c r="A37" s="1" t="s">
        <v>40</v>
      </c>
      <c r="B37" s="1" t="s">
        <v>17</v>
      </c>
      <c r="C37" s="1">
        <v>1</v>
      </c>
      <c r="D37" s="1">
        <v>3.5999999999999997E-2</v>
      </c>
      <c r="E37">
        <f t="shared" si="0"/>
        <v>0.27151778441487917</v>
      </c>
    </row>
    <row r="38" spans="1:5" x14ac:dyDescent="0.35">
      <c r="A38" s="1" t="s">
        <v>39</v>
      </c>
      <c r="B38" s="1" t="s">
        <v>37</v>
      </c>
      <c r="C38" s="1">
        <v>40</v>
      </c>
      <c r="D38" s="1">
        <v>1.27</v>
      </c>
      <c r="E38">
        <f t="shared" si="0"/>
        <v>10.860711376595166</v>
      </c>
    </row>
    <row r="39" spans="1:5" x14ac:dyDescent="0.35">
      <c r="A39" s="1" t="s">
        <v>38</v>
      </c>
      <c r="B39" s="1" t="s">
        <v>37</v>
      </c>
      <c r="C39" s="1">
        <v>23</v>
      </c>
      <c r="D39" s="1">
        <v>0.73</v>
      </c>
      <c r="E39">
        <f t="shared" si="0"/>
        <v>6.244909041542221</v>
      </c>
    </row>
    <row r="40" spans="1:5" x14ac:dyDescent="0.35">
      <c r="A40" s="1" t="s">
        <v>36</v>
      </c>
      <c r="B40" s="1" t="s">
        <v>34</v>
      </c>
      <c r="C40" s="1">
        <v>50</v>
      </c>
      <c r="D40" s="1">
        <v>1.587</v>
      </c>
      <c r="E40">
        <f t="shared" si="0"/>
        <v>13.575889220743958</v>
      </c>
    </row>
    <row r="41" spans="1:5" x14ac:dyDescent="0.35">
      <c r="A41" s="1" t="s">
        <v>35</v>
      </c>
      <c r="B41" s="1" t="s">
        <v>34</v>
      </c>
      <c r="C41" s="1">
        <v>13</v>
      </c>
      <c r="D41" s="1">
        <v>0.41299999999999998</v>
      </c>
      <c r="E41">
        <f t="shared" si="0"/>
        <v>3.5297311973934291</v>
      </c>
    </row>
    <row r="42" spans="1:5" x14ac:dyDescent="0.35">
      <c r="A42" s="1" t="s">
        <v>33</v>
      </c>
      <c r="B42" s="1" t="s">
        <v>31</v>
      </c>
      <c r="C42" s="1">
        <v>138</v>
      </c>
      <c r="D42" s="1">
        <v>1.4530000000000001</v>
      </c>
      <c r="E42">
        <f t="shared" si="0"/>
        <v>37.469454249253324</v>
      </c>
    </row>
    <row r="43" spans="1:5" x14ac:dyDescent="0.35">
      <c r="A43" s="1" t="s">
        <v>32</v>
      </c>
      <c r="B43" s="1" t="s">
        <v>31</v>
      </c>
      <c r="C43" s="1">
        <v>52</v>
      </c>
      <c r="D43" s="1">
        <v>0.54700000000000004</v>
      </c>
      <c r="E43">
        <f t="shared" si="0"/>
        <v>14.118924789573716</v>
      </c>
    </row>
    <row r="44" spans="1:5" x14ac:dyDescent="0.35">
      <c r="A44" s="1" t="s">
        <v>30</v>
      </c>
      <c r="B44" s="1" t="s">
        <v>28</v>
      </c>
      <c r="C44" s="1">
        <v>103</v>
      </c>
      <c r="D44" s="1">
        <v>1.7170000000000001</v>
      </c>
      <c r="E44">
        <f t="shared" si="0"/>
        <v>27.966331794732554</v>
      </c>
    </row>
    <row r="45" spans="1:5" x14ac:dyDescent="0.35">
      <c r="A45" s="1" t="s">
        <v>29</v>
      </c>
      <c r="B45" s="1" t="s">
        <v>28</v>
      </c>
      <c r="C45" s="1">
        <v>17</v>
      </c>
      <c r="D45" s="1">
        <v>0.28299999999999997</v>
      </c>
      <c r="E45">
        <f t="shared" si="0"/>
        <v>4.6158023350529458</v>
      </c>
    </row>
    <row r="46" spans="1:5" x14ac:dyDescent="0.35">
      <c r="A46" s="1" t="s">
        <v>27</v>
      </c>
      <c r="B46" s="1" t="s">
        <v>25</v>
      </c>
      <c r="C46" s="1">
        <v>51</v>
      </c>
      <c r="D46" s="1">
        <v>1.5449999999999999</v>
      </c>
      <c r="E46">
        <f t="shared" si="0"/>
        <v>13.847407005158837</v>
      </c>
    </row>
    <row r="47" spans="1:5" x14ac:dyDescent="0.35">
      <c r="A47" s="1" t="s">
        <v>26</v>
      </c>
      <c r="B47" s="1" t="s">
        <v>25</v>
      </c>
      <c r="C47" s="1">
        <v>15</v>
      </c>
      <c r="D47" s="1">
        <v>0.45500000000000002</v>
      </c>
      <c r="E47">
        <f t="shared" si="0"/>
        <v>4.0727667662231877</v>
      </c>
    </row>
    <row r="48" spans="1:5" x14ac:dyDescent="0.35">
      <c r="A48" s="1" t="s">
        <v>24</v>
      </c>
      <c r="B48" s="1" t="s">
        <v>22</v>
      </c>
      <c r="C48" s="1">
        <v>58</v>
      </c>
      <c r="D48" s="1">
        <v>1.657</v>
      </c>
      <c r="E48">
        <f t="shared" si="0"/>
        <v>15.748031496062993</v>
      </c>
    </row>
    <row r="49" spans="1:5" x14ac:dyDescent="0.35">
      <c r="A49" s="1" t="s">
        <v>23</v>
      </c>
      <c r="B49" s="1" t="s">
        <v>22</v>
      </c>
      <c r="C49" s="1">
        <v>12</v>
      </c>
      <c r="D49" s="1">
        <v>0.34300000000000003</v>
      </c>
      <c r="E49">
        <f t="shared" si="0"/>
        <v>3.25821341297855</v>
      </c>
    </row>
    <row r="50" spans="1:5" x14ac:dyDescent="0.35">
      <c r="A50" s="1" t="s">
        <v>21</v>
      </c>
      <c r="B50" s="1" t="s">
        <v>19</v>
      </c>
      <c r="C50" s="1">
        <v>53</v>
      </c>
      <c r="D50" s="1">
        <v>1.86</v>
      </c>
      <c r="E50">
        <f t="shared" si="0"/>
        <v>14.390442573988595</v>
      </c>
    </row>
    <row r="51" spans="1:5" x14ac:dyDescent="0.35">
      <c r="A51" s="1" t="s">
        <v>20</v>
      </c>
      <c r="B51" s="1" t="s">
        <v>19</v>
      </c>
      <c r="C51" s="1">
        <v>4</v>
      </c>
      <c r="D51" s="1">
        <v>0.14000000000000001</v>
      </c>
      <c r="E51">
        <f t="shared" si="0"/>
        <v>1.0860711376595167</v>
      </c>
    </row>
    <row r="52" spans="1:5" x14ac:dyDescent="0.35">
      <c r="A52" s="1" t="s">
        <v>18</v>
      </c>
      <c r="B52" s="1" t="s">
        <v>17</v>
      </c>
      <c r="C52" s="1">
        <v>75</v>
      </c>
      <c r="D52" s="1">
        <v>2.6789999999999998</v>
      </c>
      <c r="E52">
        <f t="shared" si="0"/>
        <v>20.363833831115937</v>
      </c>
    </row>
    <row r="53" spans="1:5" x14ac:dyDescent="0.35">
      <c r="A53" s="1" t="s">
        <v>16</v>
      </c>
      <c r="B53" s="1" t="s">
        <v>15</v>
      </c>
      <c r="C53" s="1">
        <v>17</v>
      </c>
      <c r="D53" s="1">
        <v>1</v>
      </c>
      <c r="E53">
        <f t="shared" si="0"/>
        <v>4.6158023350529458</v>
      </c>
    </row>
    <row r="54" spans="1:5" x14ac:dyDescent="0.35">
      <c r="A54" s="1" t="s">
        <v>14</v>
      </c>
      <c r="B54" s="1" t="s">
        <v>5</v>
      </c>
      <c r="C54" s="1">
        <v>13</v>
      </c>
      <c r="D54" s="1">
        <v>0.57399999999999995</v>
      </c>
      <c r="E54">
        <f t="shared" si="0"/>
        <v>3.5297311973934291</v>
      </c>
    </row>
    <row r="55" spans="1:5" x14ac:dyDescent="0.35">
      <c r="A55" s="1" t="s">
        <v>13</v>
      </c>
      <c r="B55" s="1" t="s">
        <v>5</v>
      </c>
      <c r="C55" s="1">
        <v>2</v>
      </c>
      <c r="D55" s="1">
        <v>8.7999999999999995E-2</v>
      </c>
      <c r="E55">
        <f t="shared" si="0"/>
        <v>0.54303556882975834</v>
      </c>
    </row>
    <row r="56" spans="1:5" x14ac:dyDescent="0.35">
      <c r="A56" s="1" t="s">
        <v>12</v>
      </c>
      <c r="B56" s="1" t="s">
        <v>5</v>
      </c>
      <c r="C56" s="1">
        <v>30</v>
      </c>
      <c r="D56" s="1">
        <v>1.3240000000000001</v>
      </c>
      <c r="E56">
        <f t="shared" si="0"/>
        <v>8.1455335324463753</v>
      </c>
    </row>
    <row r="57" spans="1:5" x14ac:dyDescent="0.35">
      <c r="A57" s="1" t="s">
        <v>11</v>
      </c>
      <c r="B57" s="1" t="s">
        <v>5</v>
      </c>
      <c r="C57" s="1">
        <v>4</v>
      </c>
      <c r="D57" s="1">
        <v>0.17599999999999999</v>
      </c>
      <c r="E57">
        <f t="shared" si="0"/>
        <v>1.0860711376595167</v>
      </c>
    </row>
    <row r="58" spans="1:5" x14ac:dyDescent="0.35">
      <c r="A58" s="1" t="s">
        <v>10</v>
      </c>
      <c r="B58" s="1" t="s">
        <v>8</v>
      </c>
      <c r="C58" s="1">
        <v>34</v>
      </c>
      <c r="D58" s="1">
        <v>0.75</v>
      </c>
      <c r="E58">
        <f t="shared" si="0"/>
        <v>9.2316046701058916</v>
      </c>
    </row>
    <row r="59" spans="1:5" x14ac:dyDescent="0.35">
      <c r="A59" s="1" t="s">
        <v>9</v>
      </c>
      <c r="B59" s="1" t="s">
        <v>8</v>
      </c>
      <c r="C59" s="1">
        <v>5</v>
      </c>
      <c r="D59" s="1">
        <v>0.11</v>
      </c>
      <c r="E59">
        <f t="shared" si="0"/>
        <v>1.3575889220743957</v>
      </c>
    </row>
    <row r="60" spans="1:5" x14ac:dyDescent="0.35">
      <c r="A60" s="1" t="s">
        <v>7</v>
      </c>
      <c r="B60" s="1" t="s">
        <v>5</v>
      </c>
      <c r="C60" s="1">
        <v>79</v>
      </c>
      <c r="D60" s="1">
        <v>3.4849999999999999</v>
      </c>
      <c r="E60">
        <f t="shared" si="0"/>
        <v>21.449904968775453</v>
      </c>
    </row>
    <row r="61" spans="1:5" x14ac:dyDescent="0.35">
      <c r="A61" s="1" t="s">
        <v>6</v>
      </c>
      <c r="B61" s="1" t="s">
        <v>5</v>
      </c>
      <c r="C61" s="1">
        <v>8</v>
      </c>
      <c r="D61" s="1">
        <v>0.35299999999999998</v>
      </c>
      <c r="E61">
        <f t="shared" si="0"/>
        <v>2.1721422753190334</v>
      </c>
    </row>
    <row r="62" spans="1:5" x14ac:dyDescent="0.35">
      <c r="A62" s="1" t="s">
        <v>4</v>
      </c>
      <c r="B62" s="1" t="s">
        <v>0</v>
      </c>
      <c r="C62" s="1">
        <v>67</v>
      </c>
      <c r="D62" s="1">
        <v>1.381</v>
      </c>
      <c r="E62">
        <f t="shared" si="0"/>
        <v>18.191691555796904</v>
      </c>
    </row>
    <row r="63" spans="1:5" x14ac:dyDescent="0.35">
      <c r="A63" s="1" t="s">
        <v>3</v>
      </c>
      <c r="B63" s="1" t="s">
        <v>0</v>
      </c>
      <c r="C63" s="1">
        <v>9</v>
      </c>
      <c r="D63" s="1">
        <v>0.186</v>
      </c>
      <c r="E63">
        <f t="shared" si="0"/>
        <v>2.4436600597339124</v>
      </c>
    </row>
    <row r="64" spans="1:5" x14ac:dyDescent="0.35">
      <c r="A64" s="1" t="s">
        <v>2</v>
      </c>
      <c r="B64" s="1" t="s">
        <v>0</v>
      </c>
      <c r="C64" s="1">
        <v>78</v>
      </c>
      <c r="D64" s="1">
        <v>1.6080000000000001</v>
      </c>
      <c r="E64">
        <f t="shared" si="0"/>
        <v>21.178387184360574</v>
      </c>
    </row>
    <row r="65" spans="1:5" x14ac:dyDescent="0.35">
      <c r="A65" s="1" t="s">
        <v>1</v>
      </c>
      <c r="B65" s="1" t="s">
        <v>0</v>
      </c>
      <c r="C65" s="1">
        <v>40</v>
      </c>
      <c r="D65" s="1">
        <v>0.82499999999999996</v>
      </c>
      <c r="E65">
        <f t="shared" si="0"/>
        <v>10.860711376595166</v>
      </c>
    </row>
    <row r="66" spans="1:5" x14ac:dyDescent="0.35">
      <c r="C66">
        <f>SUM(C2:C65)</f>
        <v>3683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3E7B-FB3E-41BC-8B3E-234CE774C462}">
  <dimension ref="A1:E66"/>
  <sheetViews>
    <sheetView workbookViewId="0">
      <selection activeCell="E1" sqref="E1:E1048576"/>
    </sheetView>
  </sheetViews>
  <sheetFormatPr defaultRowHeight="14.5" x14ac:dyDescent="0.35"/>
  <sheetData>
    <row r="1" spans="1:5" ht="57.5" x14ac:dyDescent="0.35">
      <c r="A1" s="1" t="s">
        <v>88</v>
      </c>
      <c r="B1" s="1" t="s">
        <v>87</v>
      </c>
      <c r="C1" s="1" t="s">
        <v>86</v>
      </c>
      <c r="D1" s="1" t="s">
        <v>85</v>
      </c>
      <c r="E1" s="1" t="s">
        <v>91</v>
      </c>
    </row>
    <row r="2" spans="1:5" x14ac:dyDescent="0.35">
      <c r="A2" s="1" t="s">
        <v>84</v>
      </c>
      <c r="B2" s="1" t="s">
        <v>82</v>
      </c>
      <c r="C2" s="1">
        <v>304</v>
      </c>
      <c r="D2" s="1">
        <v>1.6479999999999999</v>
      </c>
      <c r="E2">
        <f>(C2/3672)*1000</f>
        <v>82.788671023965151</v>
      </c>
    </row>
    <row r="3" spans="1:5" x14ac:dyDescent="0.35">
      <c r="A3" s="1" t="s">
        <v>83</v>
      </c>
      <c r="B3" s="1" t="s">
        <v>82</v>
      </c>
      <c r="C3" s="1">
        <v>65</v>
      </c>
      <c r="D3" s="1">
        <v>0.35199999999999998</v>
      </c>
      <c r="E3">
        <f t="shared" ref="E3:E65" si="0">(C3/3672)*1000</f>
        <v>17.701525054466231</v>
      </c>
    </row>
    <row r="4" spans="1:5" x14ac:dyDescent="0.35">
      <c r="A4" s="1" t="s">
        <v>81</v>
      </c>
      <c r="B4" s="1" t="s">
        <v>75</v>
      </c>
      <c r="C4" s="1">
        <v>264</v>
      </c>
      <c r="D4" s="1">
        <v>3.5680000000000001</v>
      </c>
      <c r="E4">
        <f t="shared" si="0"/>
        <v>71.895424836601308</v>
      </c>
    </row>
    <row r="5" spans="1:5" x14ac:dyDescent="0.35">
      <c r="A5" s="1" t="s">
        <v>80</v>
      </c>
      <c r="B5" s="1" t="s">
        <v>75</v>
      </c>
      <c r="C5" s="1">
        <v>68</v>
      </c>
      <c r="D5" s="1">
        <v>0.91900000000000004</v>
      </c>
      <c r="E5">
        <f t="shared" si="0"/>
        <v>18.518518518518519</v>
      </c>
    </row>
    <row r="6" spans="1:5" x14ac:dyDescent="0.35">
      <c r="A6" s="1" t="s">
        <v>79</v>
      </c>
      <c r="B6" s="1" t="s">
        <v>75</v>
      </c>
      <c r="C6" s="1">
        <v>45</v>
      </c>
      <c r="D6" s="1">
        <v>0.60799999999999998</v>
      </c>
      <c r="E6">
        <f t="shared" si="0"/>
        <v>12.254901960784313</v>
      </c>
    </row>
    <row r="7" spans="1:5" x14ac:dyDescent="0.35">
      <c r="A7" s="1" t="s">
        <v>78</v>
      </c>
      <c r="B7" s="1" t="s">
        <v>75</v>
      </c>
      <c r="C7" s="1">
        <v>3</v>
      </c>
      <c r="D7" s="1">
        <v>4.1000000000000002E-2</v>
      </c>
      <c r="E7">
        <f t="shared" si="0"/>
        <v>0.81699346405228757</v>
      </c>
    </row>
    <row r="8" spans="1:5" x14ac:dyDescent="0.35">
      <c r="A8" s="1" t="s">
        <v>77</v>
      </c>
      <c r="B8" s="1" t="s">
        <v>75</v>
      </c>
      <c r="C8" s="1">
        <v>60</v>
      </c>
      <c r="D8" s="1">
        <v>0.81100000000000005</v>
      </c>
      <c r="E8">
        <f t="shared" si="0"/>
        <v>16.339869281045754</v>
      </c>
    </row>
    <row r="9" spans="1:5" x14ac:dyDescent="0.35">
      <c r="A9" s="1" t="s">
        <v>76</v>
      </c>
      <c r="B9" s="1" t="s">
        <v>75</v>
      </c>
      <c r="C9" s="1">
        <v>4</v>
      </c>
      <c r="D9" s="1">
        <v>5.3999999999999999E-2</v>
      </c>
      <c r="E9">
        <f t="shared" si="0"/>
        <v>1.0893246187363836</v>
      </c>
    </row>
    <row r="10" spans="1:5" x14ac:dyDescent="0.35">
      <c r="A10" s="1" t="s">
        <v>74</v>
      </c>
      <c r="B10" s="1" t="s">
        <v>71</v>
      </c>
      <c r="C10" s="1">
        <v>274</v>
      </c>
      <c r="D10" s="1">
        <v>1.179</v>
      </c>
      <c r="E10">
        <f t="shared" si="0"/>
        <v>74.618736383442268</v>
      </c>
    </row>
    <row r="11" spans="1:5" x14ac:dyDescent="0.35">
      <c r="A11" s="1" t="s">
        <v>73</v>
      </c>
      <c r="B11" s="1" t="s">
        <v>71</v>
      </c>
      <c r="C11" s="1">
        <v>57</v>
      </c>
      <c r="D11" s="1">
        <v>0.245</v>
      </c>
      <c r="E11">
        <f t="shared" si="0"/>
        <v>15.522875816993464</v>
      </c>
    </row>
    <row r="12" spans="1:5" x14ac:dyDescent="0.35">
      <c r="A12" s="1" t="s">
        <v>72</v>
      </c>
      <c r="B12" s="1" t="s">
        <v>71</v>
      </c>
      <c r="C12" s="1">
        <v>366</v>
      </c>
      <c r="D12" s="1">
        <v>1.575</v>
      </c>
      <c r="E12">
        <f t="shared" si="0"/>
        <v>99.673202614379093</v>
      </c>
    </row>
    <row r="13" spans="1:5" x14ac:dyDescent="0.35">
      <c r="A13" s="1" t="s">
        <v>70</v>
      </c>
      <c r="B13" s="1" t="s">
        <v>69</v>
      </c>
      <c r="C13" s="1">
        <v>43</v>
      </c>
      <c r="D13" s="1">
        <v>1</v>
      </c>
      <c r="E13">
        <f t="shared" si="0"/>
        <v>11.710239651416121</v>
      </c>
    </row>
    <row r="14" spans="1:5" x14ac:dyDescent="0.35">
      <c r="A14" s="1" t="s">
        <v>68</v>
      </c>
      <c r="B14" s="1" t="s">
        <v>64</v>
      </c>
      <c r="C14" s="1">
        <v>77</v>
      </c>
      <c r="D14" s="1">
        <v>1.901</v>
      </c>
      <c r="E14">
        <f t="shared" si="0"/>
        <v>20.96949891067538</v>
      </c>
    </row>
    <row r="15" spans="1:5" x14ac:dyDescent="0.35">
      <c r="A15" s="1" t="s">
        <v>67</v>
      </c>
      <c r="B15" s="1" t="s">
        <v>64</v>
      </c>
      <c r="C15" s="1">
        <v>3</v>
      </c>
      <c r="D15" s="1">
        <v>7.3999999999999996E-2</v>
      </c>
      <c r="E15">
        <f t="shared" si="0"/>
        <v>0.81699346405228757</v>
      </c>
    </row>
    <row r="16" spans="1:5" x14ac:dyDescent="0.35">
      <c r="A16" s="1" t="s">
        <v>66</v>
      </c>
      <c r="B16" s="1" t="s">
        <v>64</v>
      </c>
      <c r="C16" s="1">
        <v>73</v>
      </c>
      <c r="D16" s="1">
        <v>1.802</v>
      </c>
      <c r="E16">
        <f t="shared" si="0"/>
        <v>19.880174291938999</v>
      </c>
    </row>
    <row r="17" spans="1:5" x14ac:dyDescent="0.35">
      <c r="A17" s="1" t="s">
        <v>65</v>
      </c>
      <c r="B17" s="1" t="s">
        <v>64</v>
      </c>
      <c r="C17" s="1">
        <v>9</v>
      </c>
      <c r="D17" s="1">
        <v>0.222</v>
      </c>
      <c r="E17">
        <f t="shared" si="0"/>
        <v>2.4509803921568629</v>
      </c>
    </row>
    <row r="18" spans="1:5" x14ac:dyDescent="0.35">
      <c r="A18" s="1" t="s">
        <v>63</v>
      </c>
      <c r="B18" s="1" t="s">
        <v>8</v>
      </c>
      <c r="C18" s="1">
        <v>87</v>
      </c>
      <c r="D18" s="1">
        <v>1.9119999999999999</v>
      </c>
      <c r="E18">
        <f t="shared" si="0"/>
        <v>23.692810457516337</v>
      </c>
    </row>
    <row r="19" spans="1:5" x14ac:dyDescent="0.35">
      <c r="A19" s="1" t="s">
        <v>62</v>
      </c>
      <c r="B19" s="1" t="s">
        <v>8</v>
      </c>
      <c r="C19" s="1">
        <v>15</v>
      </c>
      <c r="D19" s="1">
        <v>0.33</v>
      </c>
      <c r="E19">
        <f t="shared" si="0"/>
        <v>4.0849673202614385</v>
      </c>
    </row>
    <row r="20" spans="1:5" x14ac:dyDescent="0.35">
      <c r="A20" s="1" t="s">
        <v>61</v>
      </c>
      <c r="B20" s="1" t="s">
        <v>8</v>
      </c>
      <c r="C20" s="1">
        <v>130</v>
      </c>
      <c r="D20" s="1">
        <v>2.8570000000000002</v>
      </c>
      <c r="E20">
        <f t="shared" si="0"/>
        <v>35.403050108932462</v>
      </c>
    </row>
    <row r="21" spans="1:5" x14ac:dyDescent="0.35">
      <c r="A21" s="1" t="s">
        <v>60</v>
      </c>
      <c r="B21" s="1" t="s">
        <v>8</v>
      </c>
      <c r="C21" s="1">
        <v>3</v>
      </c>
      <c r="D21" s="1">
        <v>6.6000000000000003E-2</v>
      </c>
      <c r="E21">
        <f t="shared" si="0"/>
        <v>0.81699346405228757</v>
      </c>
    </row>
    <row r="22" spans="1:5" x14ac:dyDescent="0.35">
      <c r="A22" s="1" t="s">
        <v>59</v>
      </c>
      <c r="B22" s="1" t="s">
        <v>55</v>
      </c>
      <c r="C22" s="1">
        <v>48</v>
      </c>
      <c r="D22" s="1">
        <v>1.488</v>
      </c>
      <c r="E22">
        <f t="shared" si="0"/>
        <v>13.071895424836601</v>
      </c>
    </row>
    <row r="23" spans="1:5" x14ac:dyDescent="0.35">
      <c r="A23" s="1" t="s">
        <v>58</v>
      </c>
      <c r="B23" s="1" t="s">
        <v>55</v>
      </c>
      <c r="C23" s="1">
        <v>15</v>
      </c>
      <c r="D23" s="1">
        <v>0.46500000000000002</v>
      </c>
      <c r="E23">
        <f t="shared" si="0"/>
        <v>4.0849673202614385</v>
      </c>
    </row>
    <row r="24" spans="1:5" x14ac:dyDescent="0.35">
      <c r="A24" s="1" t="s">
        <v>57</v>
      </c>
      <c r="B24" s="1" t="s">
        <v>55</v>
      </c>
      <c r="C24" s="1">
        <v>63</v>
      </c>
      <c r="D24" s="1">
        <v>1.9530000000000001</v>
      </c>
      <c r="E24">
        <f t="shared" si="0"/>
        <v>17.156862745098042</v>
      </c>
    </row>
    <row r="25" spans="1:5" x14ac:dyDescent="0.35">
      <c r="A25" s="1" t="s">
        <v>56</v>
      </c>
      <c r="B25" s="1" t="s">
        <v>55</v>
      </c>
      <c r="C25" s="1">
        <v>3</v>
      </c>
      <c r="D25" s="1">
        <v>9.2999999999999999E-2</v>
      </c>
      <c r="E25">
        <f t="shared" si="0"/>
        <v>0.81699346405228757</v>
      </c>
    </row>
    <row r="26" spans="1:5" x14ac:dyDescent="0.35">
      <c r="A26" s="1" t="s">
        <v>54</v>
      </c>
      <c r="B26" s="1" t="s">
        <v>50</v>
      </c>
      <c r="C26" s="1">
        <v>43</v>
      </c>
      <c r="D26" s="1">
        <v>0.80400000000000005</v>
      </c>
      <c r="E26">
        <f t="shared" si="0"/>
        <v>11.710239651416121</v>
      </c>
    </row>
    <row r="27" spans="1:5" x14ac:dyDescent="0.35">
      <c r="A27" s="1" t="s">
        <v>53</v>
      </c>
      <c r="B27" s="1" t="s">
        <v>50</v>
      </c>
      <c r="C27" s="1">
        <v>20</v>
      </c>
      <c r="D27" s="1">
        <v>0.374</v>
      </c>
      <c r="E27">
        <f t="shared" si="0"/>
        <v>5.4466230936819171</v>
      </c>
    </row>
    <row r="28" spans="1:5" x14ac:dyDescent="0.35">
      <c r="A28" s="1" t="s">
        <v>52</v>
      </c>
      <c r="B28" s="1" t="s">
        <v>50</v>
      </c>
      <c r="C28" s="1">
        <v>148</v>
      </c>
      <c r="D28" s="1">
        <v>2.766</v>
      </c>
      <c r="E28">
        <f t="shared" si="0"/>
        <v>40.305010893246191</v>
      </c>
    </row>
    <row r="29" spans="1:5" x14ac:dyDescent="0.35">
      <c r="A29" s="1" t="s">
        <v>51</v>
      </c>
      <c r="B29" s="1" t="s">
        <v>50</v>
      </c>
      <c r="C29" s="1">
        <v>3</v>
      </c>
      <c r="D29" s="1">
        <v>5.6000000000000001E-2</v>
      </c>
      <c r="E29">
        <f t="shared" si="0"/>
        <v>0.81699346405228757</v>
      </c>
    </row>
    <row r="30" spans="1:5" x14ac:dyDescent="0.35">
      <c r="A30" s="1" t="s">
        <v>49</v>
      </c>
      <c r="B30" s="1" t="s">
        <v>45</v>
      </c>
      <c r="C30" s="1">
        <v>38</v>
      </c>
      <c r="D30" s="1">
        <v>1.49</v>
      </c>
      <c r="E30">
        <f t="shared" si="0"/>
        <v>10.348583877995644</v>
      </c>
    </row>
    <row r="31" spans="1:5" x14ac:dyDescent="0.35">
      <c r="A31" s="1" t="s">
        <v>48</v>
      </c>
      <c r="B31" s="1" t="s">
        <v>45</v>
      </c>
      <c r="C31" s="1">
        <v>10</v>
      </c>
      <c r="D31" s="1">
        <v>0.39200000000000002</v>
      </c>
      <c r="E31">
        <f t="shared" si="0"/>
        <v>2.7233115468409586</v>
      </c>
    </row>
    <row r="32" spans="1:5" x14ac:dyDescent="0.35">
      <c r="A32" s="1" t="s">
        <v>47</v>
      </c>
      <c r="B32" s="1" t="s">
        <v>45</v>
      </c>
      <c r="C32" s="1">
        <v>53</v>
      </c>
      <c r="D32" s="1">
        <v>2.0779999999999998</v>
      </c>
      <c r="E32">
        <f t="shared" si="0"/>
        <v>14.43355119825708</v>
      </c>
    </row>
    <row r="33" spans="1:5" x14ac:dyDescent="0.35">
      <c r="A33" s="1" t="s">
        <v>46</v>
      </c>
      <c r="B33" s="1" t="s">
        <v>45</v>
      </c>
      <c r="C33" s="1">
        <v>1</v>
      </c>
      <c r="D33" s="1">
        <v>3.9E-2</v>
      </c>
      <c r="E33">
        <f t="shared" si="0"/>
        <v>0.27233115468409591</v>
      </c>
    </row>
    <row r="34" spans="1:5" x14ac:dyDescent="0.35">
      <c r="A34" s="1" t="s">
        <v>44</v>
      </c>
      <c r="B34" s="1" t="s">
        <v>42</v>
      </c>
      <c r="C34" s="1">
        <v>147</v>
      </c>
      <c r="D34" s="1">
        <v>1.69</v>
      </c>
      <c r="E34">
        <f t="shared" si="0"/>
        <v>40.032679738562088</v>
      </c>
    </row>
    <row r="35" spans="1:5" x14ac:dyDescent="0.35">
      <c r="A35" s="1" t="s">
        <v>43</v>
      </c>
      <c r="B35" s="1" t="s">
        <v>42</v>
      </c>
      <c r="C35" s="1">
        <v>27</v>
      </c>
      <c r="D35" s="1">
        <v>0.31</v>
      </c>
      <c r="E35">
        <f t="shared" si="0"/>
        <v>7.3529411764705879</v>
      </c>
    </row>
    <row r="36" spans="1:5" x14ac:dyDescent="0.35">
      <c r="A36" s="1" t="s">
        <v>41</v>
      </c>
      <c r="B36" s="1" t="s">
        <v>17</v>
      </c>
      <c r="C36" s="1">
        <v>10</v>
      </c>
      <c r="D36" s="1">
        <v>0.33</v>
      </c>
      <c r="E36">
        <f t="shared" si="0"/>
        <v>2.7233115468409586</v>
      </c>
    </row>
    <row r="37" spans="1:5" x14ac:dyDescent="0.35">
      <c r="A37" s="1" t="s">
        <v>40</v>
      </c>
      <c r="B37" s="1" t="s">
        <v>17</v>
      </c>
      <c r="C37" s="1">
        <v>0</v>
      </c>
      <c r="D37" s="1">
        <v>0</v>
      </c>
      <c r="E37">
        <f t="shared" si="0"/>
        <v>0</v>
      </c>
    </row>
    <row r="38" spans="1:5" x14ac:dyDescent="0.35">
      <c r="A38" s="1" t="s">
        <v>39</v>
      </c>
      <c r="B38" s="1" t="s">
        <v>37</v>
      </c>
      <c r="C38" s="1">
        <v>41</v>
      </c>
      <c r="D38" s="1">
        <v>1.4390000000000001</v>
      </c>
      <c r="E38">
        <f t="shared" si="0"/>
        <v>11.16557734204793</v>
      </c>
    </row>
    <row r="39" spans="1:5" x14ac:dyDescent="0.35">
      <c r="A39" s="1" t="s">
        <v>38</v>
      </c>
      <c r="B39" s="1" t="s">
        <v>37</v>
      </c>
      <c r="C39" s="1">
        <v>16</v>
      </c>
      <c r="D39" s="1">
        <v>0.56100000000000005</v>
      </c>
      <c r="E39">
        <f t="shared" si="0"/>
        <v>4.3572984749455346</v>
      </c>
    </row>
    <row r="40" spans="1:5" x14ac:dyDescent="0.35">
      <c r="A40" s="1" t="s">
        <v>36</v>
      </c>
      <c r="B40" s="1" t="s">
        <v>34</v>
      </c>
      <c r="C40" s="1">
        <v>56</v>
      </c>
      <c r="D40" s="1">
        <v>1.6970000000000001</v>
      </c>
      <c r="E40">
        <f t="shared" si="0"/>
        <v>15.250544662309368</v>
      </c>
    </row>
    <row r="41" spans="1:5" x14ac:dyDescent="0.35">
      <c r="A41" s="1" t="s">
        <v>35</v>
      </c>
      <c r="B41" s="1" t="s">
        <v>34</v>
      </c>
      <c r="C41" s="1">
        <v>10</v>
      </c>
      <c r="D41" s="1">
        <v>0.30299999999999999</v>
      </c>
      <c r="E41">
        <f t="shared" si="0"/>
        <v>2.7233115468409586</v>
      </c>
    </row>
    <row r="42" spans="1:5" x14ac:dyDescent="0.35">
      <c r="A42" s="1" t="s">
        <v>33</v>
      </c>
      <c r="B42" s="1" t="s">
        <v>31</v>
      </c>
      <c r="C42" s="1">
        <v>142</v>
      </c>
      <c r="D42" s="1">
        <v>1.4790000000000001</v>
      </c>
      <c r="E42">
        <f t="shared" si="0"/>
        <v>38.671023965141615</v>
      </c>
    </row>
    <row r="43" spans="1:5" x14ac:dyDescent="0.35">
      <c r="A43" s="1" t="s">
        <v>32</v>
      </c>
      <c r="B43" s="1" t="s">
        <v>31</v>
      </c>
      <c r="C43" s="1">
        <v>50</v>
      </c>
      <c r="D43" s="1">
        <v>0.52100000000000002</v>
      </c>
      <c r="E43">
        <f t="shared" si="0"/>
        <v>13.616557734204793</v>
      </c>
    </row>
    <row r="44" spans="1:5" x14ac:dyDescent="0.35">
      <c r="A44" s="1" t="s">
        <v>30</v>
      </c>
      <c r="B44" s="1" t="s">
        <v>28</v>
      </c>
      <c r="C44" s="1">
        <v>111</v>
      </c>
      <c r="D44" s="1">
        <v>1.776</v>
      </c>
      <c r="E44">
        <f t="shared" si="0"/>
        <v>30.22875816993464</v>
      </c>
    </row>
    <row r="45" spans="1:5" x14ac:dyDescent="0.35">
      <c r="A45" s="1" t="s">
        <v>29</v>
      </c>
      <c r="B45" s="1" t="s">
        <v>28</v>
      </c>
      <c r="C45" s="1">
        <v>14</v>
      </c>
      <c r="D45" s="1">
        <v>0.224</v>
      </c>
      <c r="E45">
        <f t="shared" si="0"/>
        <v>3.812636165577342</v>
      </c>
    </row>
    <row r="46" spans="1:5" x14ac:dyDescent="0.35">
      <c r="A46" s="1" t="s">
        <v>27</v>
      </c>
      <c r="B46" s="1" t="s">
        <v>25</v>
      </c>
      <c r="C46" s="1">
        <v>59</v>
      </c>
      <c r="D46" s="1">
        <v>1.6619999999999999</v>
      </c>
      <c r="E46">
        <f t="shared" si="0"/>
        <v>16.067538126361658</v>
      </c>
    </row>
    <row r="47" spans="1:5" x14ac:dyDescent="0.35">
      <c r="A47" s="1" t="s">
        <v>26</v>
      </c>
      <c r="B47" s="1" t="s">
        <v>25</v>
      </c>
      <c r="C47" s="1">
        <v>12</v>
      </c>
      <c r="D47" s="1">
        <v>0.33800000000000002</v>
      </c>
      <c r="E47">
        <f t="shared" si="0"/>
        <v>3.2679738562091503</v>
      </c>
    </row>
    <row r="48" spans="1:5" x14ac:dyDescent="0.35">
      <c r="A48" s="1" t="s">
        <v>24</v>
      </c>
      <c r="B48" s="1" t="s">
        <v>22</v>
      </c>
      <c r="C48" s="1">
        <v>65</v>
      </c>
      <c r="D48" s="1">
        <v>1.7569999999999999</v>
      </c>
      <c r="E48">
        <f t="shared" si="0"/>
        <v>17.701525054466231</v>
      </c>
    </row>
    <row r="49" spans="1:5" x14ac:dyDescent="0.35">
      <c r="A49" s="1" t="s">
        <v>23</v>
      </c>
      <c r="B49" s="1" t="s">
        <v>22</v>
      </c>
      <c r="C49" s="1">
        <v>9</v>
      </c>
      <c r="D49" s="1">
        <v>0.24299999999999999</v>
      </c>
      <c r="E49">
        <f t="shared" si="0"/>
        <v>2.4509803921568629</v>
      </c>
    </row>
    <row r="50" spans="1:5" x14ac:dyDescent="0.35">
      <c r="A50" s="1" t="s">
        <v>21</v>
      </c>
      <c r="B50" s="1" t="s">
        <v>19</v>
      </c>
      <c r="C50" s="1">
        <v>41</v>
      </c>
      <c r="D50" s="1">
        <v>1.64</v>
      </c>
      <c r="E50">
        <f t="shared" si="0"/>
        <v>11.16557734204793</v>
      </c>
    </row>
    <row r="51" spans="1:5" x14ac:dyDescent="0.35">
      <c r="A51" s="1" t="s">
        <v>20</v>
      </c>
      <c r="B51" s="1" t="s">
        <v>19</v>
      </c>
      <c r="C51" s="1">
        <v>9</v>
      </c>
      <c r="D51" s="1">
        <v>0.36</v>
      </c>
      <c r="E51">
        <f t="shared" si="0"/>
        <v>2.4509803921568629</v>
      </c>
    </row>
    <row r="52" spans="1:5" x14ac:dyDescent="0.35">
      <c r="A52" s="1" t="s">
        <v>18</v>
      </c>
      <c r="B52" s="1" t="s">
        <v>17</v>
      </c>
      <c r="C52" s="1">
        <v>81</v>
      </c>
      <c r="D52" s="1">
        <v>2.67</v>
      </c>
      <c r="E52">
        <f t="shared" si="0"/>
        <v>22.058823529411764</v>
      </c>
    </row>
    <row r="53" spans="1:5" x14ac:dyDescent="0.35">
      <c r="A53" s="1" t="s">
        <v>16</v>
      </c>
      <c r="B53" s="1" t="s">
        <v>15</v>
      </c>
      <c r="C53" s="1">
        <v>12</v>
      </c>
      <c r="D53" s="1">
        <v>1</v>
      </c>
      <c r="E53">
        <f t="shared" si="0"/>
        <v>3.2679738562091503</v>
      </c>
    </row>
    <row r="54" spans="1:5" x14ac:dyDescent="0.35">
      <c r="A54" s="1" t="s">
        <v>14</v>
      </c>
      <c r="B54" s="1" t="s">
        <v>5</v>
      </c>
      <c r="C54" s="1">
        <v>22</v>
      </c>
      <c r="D54" s="1">
        <v>0.99199999999999999</v>
      </c>
      <c r="E54">
        <f t="shared" si="0"/>
        <v>5.9912854030501084</v>
      </c>
    </row>
    <row r="55" spans="1:5" x14ac:dyDescent="0.35">
      <c r="A55" s="1" t="s">
        <v>13</v>
      </c>
      <c r="B55" s="1" t="s">
        <v>5</v>
      </c>
      <c r="C55" s="1">
        <v>1</v>
      </c>
      <c r="D55" s="1">
        <v>4.4999999999999998E-2</v>
      </c>
      <c r="E55">
        <f t="shared" si="0"/>
        <v>0.27233115468409591</v>
      </c>
    </row>
    <row r="56" spans="1:5" x14ac:dyDescent="0.35">
      <c r="A56" s="1" t="s">
        <v>12</v>
      </c>
      <c r="B56" s="1" t="s">
        <v>5</v>
      </c>
      <c r="C56" s="1">
        <v>24</v>
      </c>
      <c r="D56" s="1">
        <v>1.083</v>
      </c>
      <c r="E56">
        <f t="shared" si="0"/>
        <v>6.5359477124183005</v>
      </c>
    </row>
    <row r="57" spans="1:5" x14ac:dyDescent="0.35">
      <c r="A57" s="1" t="s">
        <v>11</v>
      </c>
      <c r="B57" s="1" t="s">
        <v>5</v>
      </c>
      <c r="C57" s="1">
        <v>0</v>
      </c>
      <c r="D57" s="1">
        <v>0</v>
      </c>
      <c r="E57">
        <f t="shared" si="0"/>
        <v>0</v>
      </c>
    </row>
    <row r="58" spans="1:5" x14ac:dyDescent="0.35">
      <c r="A58" s="1" t="s">
        <v>10</v>
      </c>
      <c r="B58" s="1" t="s">
        <v>8</v>
      </c>
      <c r="C58" s="1">
        <v>34</v>
      </c>
      <c r="D58" s="1">
        <v>0.747</v>
      </c>
      <c r="E58">
        <f t="shared" si="0"/>
        <v>9.2592592592592595</v>
      </c>
    </row>
    <row r="59" spans="1:5" x14ac:dyDescent="0.35">
      <c r="A59" s="1" t="s">
        <v>9</v>
      </c>
      <c r="B59" s="1" t="s">
        <v>8</v>
      </c>
      <c r="C59" s="1">
        <v>4</v>
      </c>
      <c r="D59" s="1">
        <v>8.7999999999999995E-2</v>
      </c>
      <c r="E59">
        <f t="shared" si="0"/>
        <v>1.0893246187363836</v>
      </c>
    </row>
    <row r="60" spans="1:5" x14ac:dyDescent="0.35">
      <c r="A60" s="1" t="s">
        <v>7</v>
      </c>
      <c r="B60" s="1" t="s">
        <v>5</v>
      </c>
      <c r="C60" s="1">
        <v>77</v>
      </c>
      <c r="D60" s="1">
        <v>3.4740000000000002</v>
      </c>
      <c r="E60">
        <f t="shared" si="0"/>
        <v>20.96949891067538</v>
      </c>
    </row>
    <row r="61" spans="1:5" x14ac:dyDescent="0.35">
      <c r="A61" s="1" t="s">
        <v>6</v>
      </c>
      <c r="B61" s="1" t="s">
        <v>5</v>
      </c>
      <c r="C61" s="1">
        <v>9</v>
      </c>
      <c r="D61" s="1">
        <v>0.40600000000000003</v>
      </c>
      <c r="E61">
        <f t="shared" si="0"/>
        <v>2.4509803921568629</v>
      </c>
    </row>
    <row r="62" spans="1:5" x14ac:dyDescent="0.35">
      <c r="A62" s="1" t="s">
        <v>4</v>
      </c>
      <c r="B62" s="1" t="s">
        <v>0</v>
      </c>
      <c r="C62" s="1">
        <v>68</v>
      </c>
      <c r="D62" s="1">
        <v>1.4019999999999999</v>
      </c>
      <c r="E62">
        <f t="shared" si="0"/>
        <v>18.518518518518519</v>
      </c>
    </row>
    <row r="63" spans="1:5" x14ac:dyDescent="0.35">
      <c r="A63" s="1" t="s">
        <v>3</v>
      </c>
      <c r="B63" s="1" t="s">
        <v>0</v>
      </c>
      <c r="C63" s="1">
        <v>9</v>
      </c>
      <c r="D63" s="1">
        <v>0.186</v>
      </c>
      <c r="E63">
        <f t="shared" si="0"/>
        <v>2.4509803921568629</v>
      </c>
    </row>
    <row r="64" spans="1:5" x14ac:dyDescent="0.35">
      <c r="A64" s="1" t="s">
        <v>2</v>
      </c>
      <c r="B64" s="1" t="s">
        <v>0</v>
      </c>
      <c r="C64" s="1">
        <v>87</v>
      </c>
      <c r="D64" s="1">
        <v>1.794</v>
      </c>
      <c r="E64">
        <f t="shared" si="0"/>
        <v>23.692810457516337</v>
      </c>
    </row>
    <row r="65" spans="1:5" x14ac:dyDescent="0.35">
      <c r="A65" s="1" t="s">
        <v>1</v>
      </c>
      <c r="B65" s="1" t="s">
        <v>0</v>
      </c>
      <c r="C65" s="1">
        <v>30</v>
      </c>
      <c r="D65" s="1">
        <v>0.61899999999999999</v>
      </c>
      <c r="E65">
        <f t="shared" si="0"/>
        <v>8.169934640522877</v>
      </c>
    </row>
    <row r="66" spans="1:5" x14ac:dyDescent="0.35">
      <c r="C66">
        <f>SUM(C2:C65)</f>
        <v>3672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AF37-92D6-440E-B231-653A3BB26E24}">
  <dimension ref="A1:E66"/>
  <sheetViews>
    <sheetView workbookViewId="0">
      <selection activeCell="J17" sqref="J17"/>
    </sheetView>
  </sheetViews>
  <sheetFormatPr defaultRowHeight="14.5" x14ac:dyDescent="0.35"/>
  <sheetData>
    <row r="1" spans="1:5" ht="57.5" x14ac:dyDescent="0.35">
      <c r="A1" s="1" t="s">
        <v>88</v>
      </c>
      <c r="B1" s="1" t="s">
        <v>87</v>
      </c>
      <c r="C1" s="1" t="s">
        <v>86</v>
      </c>
      <c r="D1" s="1" t="s">
        <v>85</v>
      </c>
      <c r="E1" s="1" t="s">
        <v>91</v>
      </c>
    </row>
    <row r="2" spans="1:5" x14ac:dyDescent="0.35">
      <c r="A2" s="1" t="s">
        <v>84</v>
      </c>
      <c r="B2" s="1" t="s">
        <v>82</v>
      </c>
      <c r="C2" s="1">
        <v>307</v>
      </c>
      <c r="D2" s="1">
        <v>1.6679999999999999</v>
      </c>
      <c r="E2">
        <f>(C2/3689)*1000</f>
        <v>83.220384928164819</v>
      </c>
    </row>
    <row r="3" spans="1:5" x14ac:dyDescent="0.35">
      <c r="A3" s="1" t="s">
        <v>83</v>
      </c>
      <c r="B3" s="1" t="s">
        <v>82</v>
      </c>
      <c r="C3" s="1">
        <v>61</v>
      </c>
      <c r="D3" s="1">
        <v>0.33200000000000002</v>
      </c>
      <c r="E3">
        <f t="shared" ref="E3:E65" si="0">(C3/3689)*1000</f>
        <v>16.535646516671186</v>
      </c>
    </row>
    <row r="4" spans="1:5" x14ac:dyDescent="0.35">
      <c r="A4" s="1" t="s">
        <v>81</v>
      </c>
      <c r="B4" s="1" t="s">
        <v>75</v>
      </c>
      <c r="C4" s="1">
        <v>264</v>
      </c>
      <c r="D4" s="1">
        <v>3.363</v>
      </c>
      <c r="E4">
        <f t="shared" si="0"/>
        <v>71.564109514773662</v>
      </c>
    </row>
    <row r="5" spans="1:5" x14ac:dyDescent="0.35">
      <c r="A5" s="1" t="s">
        <v>80</v>
      </c>
      <c r="B5" s="1" t="s">
        <v>75</v>
      </c>
      <c r="C5" s="1">
        <v>63</v>
      </c>
      <c r="D5" s="1">
        <v>0.80300000000000005</v>
      </c>
      <c r="E5">
        <f t="shared" si="0"/>
        <v>17.077798861480076</v>
      </c>
    </row>
    <row r="6" spans="1:5" x14ac:dyDescent="0.35">
      <c r="A6" s="1" t="s">
        <v>79</v>
      </c>
      <c r="B6" s="1" t="s">
        <v>75</v>
      </c>
      <c r="C6" s="1">
        <v>56</v>
      </c>
      <c r="D6" s="1">
        <v>0.71299999999999997</v>
      </c>
      <c r="E6">
        <f t="shared" si="0"/>
        <v>15.180265654648956</v>
      </c>
    </row>
    <row r="7" spans="1:5" x14ac:dyDescent="0.35">
      <c r="A7" s="1" t="s">
        <v>78</v>
      </c>
      <c r="B7" s="1" t="s">
        <v>75</v>
      </c>
      <c r="C7" s="1">
        <v>5</v>
      </c>
      <c r="D7" s="1">
        <v>6.4000000000000001E-2</v>
      </c>
      <c r="E7">
        <f t="shared" si="0"/>
        <v>1.3553808620222283</v>
      </c>
    </row>
    <row r="8" spans="1:5" x14ac:dyDescent="0.35">
      <c r="A8" s="1" t="s">
        <v>77</v>
      </c>
      <c r="B8" s="1" t="s">
        <v>75</v>
      </c>
      <c r="C8" s="1">
        <v>74</v>
      </c>
      <c r="D8" s="1">
        <v>0.94299999999999995</v>
      </c>
      <c r="E8">
        <f t="shared" si="0"/>
        <v>20.059636757928978</v>
      </c>
    </row>
    <row r="9" spans="1:5" x14ac:dyDescent="0.35">
      <c r="A9" s="1" t="s">
        <v>76</v>
      </c>
      <c r="B9" s="1" t="s">
        <v>75</v>
      </c>
      <c r="C9" s="1">
        <v>9</v>
      </c>
      <c r="D9" s="1">
        <v>0.115</v>
      </c>
      <c r="E9">
        <f t="shared" si="0"/>
        <v>2.4396855516400109</v>
      </c>
    </row>
    <row r="10" spans="1:5" x14ac:dyDescent="0.35">
      <c r="A10" s="1" t="s">
        <v>74</v>
      </c>
      <c r="B10" s="1" t="s">
        <v>71</v>
      </c>
      <c r="C10" s="1">
        <v>255</v>
      </c>
      <c r="D10" s="1">
        <v>1.159</v>
      </c>
      <c r="E10">
        <f t="shared" si="0"/>
        <v>69.124423963133651</v>
      </c>
    </row>
    <row r="11" spans="1:5" x14ac:dyDescent="0.35">
      <c r="A11" s="1" t="s">
        <v>73</v>
      </c>
      <c r="B11" s="1" t="s">
        <v>71</v>
      </c>
      <c r="C11" s="1">
        <v>69</v>
      </c>
      <c r="D11" s="1">
        <v>0.314</v>
      </c>
      <c r="E11">
        <f t="shared" si="0"/>
        <v>18.704255895906751</v>
      </c>
    </row>
    <row r="12" spans="1:5" x14ac:dyDescent="0.35">
      <c r="A12" s="1" t="s">
        <v>72</v>
      </c>
      <c r="B12" s="1" t="s">
        <v>71</v>
      </c>
      <c r="C12" s="1">
        <v>336</v>
      </c>
      <c r="D12" s="1">
        <v>1.5269999999999999</v>
      </c>
      <c r="E12">
        <f t="shared" si="0"/>
        <v>91.081593927893735</v>
      </c>
    </row>
    <row r="13" spans="1:5" x14ac:dyDescent="0.35">
      <c r="A13" s="1" t="s">
        <v>70</v>
      </c>
      <c r="B13" s="1" t="s">
        <v>69</v>
      </c>
      <c r="C13" s="1">
        <v>57</v>
      </c>
      <c r="D13" s="1">
        <v>1</v>
      </c>
      <c r="E13">
        <f t="shared" si="0"/>
        <v>15.451341827053401</v>
      </c>
    </row>
    <row r="14" spans="1:5" x14ac:dyDescent="0.35">
      <c r="A14" s="1" t="s">
        <v>68</v>
      </c>
      <c r="B14" s="1" t="s">
        <v>64</v>
      </c>
      <c r="C14" s="1">
        <v>102</v>
      </c>
      <c r="D14" s="1">
        <v>2.1589999999999998</v>
      </c>
      <c r="E14">
        <f t="shared" si="0"/>
        <v>27.649769585253459</v>
      </c>
    </row>
    <row r="15" spans="1:5" x14ac:dyDescent="0.35">
      <c r="A15" s="1" t="s">
        <v>67</v>
      </c>
      <c r="B15" s="1" t="s">
        <v>64</v>
      </c>
      <c r="C15" s="1">
        <v>7</v>
      </c>
      <c r="D15" s="1">
        <v>0.14799999999999999</v>
      </c>
      <c r="E15">
        <f t="shared" si="0"/>
        <v>1.8975332068311195</v>
      </c>
    </row>
    <row r="16" spans="1:5" x14ac:dyDescent="0.35">
      <c r="A16" s="1" t="s">
        <v>66</v>
      </c>
      <c r="B16" s="1" t="s">
        <v>64</v>
      </c>
      <c r="C16" s="1">
        <v>71</v>
      </c>
      <c r="D16" s="1">
        <v>1.5029999999999999</v>
      </c>
      <c r="E16">
        <f t="shared" si="0"/>
        <v>19.246408240715642</v>
      </c>
    </row>
    <row r="17" spans="1:5" x14ac:dyDescent="0.35">
      <c r="A17" s="1" t="s">
        <v>65</v>
      </c>
      <c r="B17" s="1" t="s">
        <v>64</v>
      </c>
      <c r="C17" s="1">
        <v>9</v>
      </c>
      <c r="D17" s="1">
        <v>0.19</v>
      </c>
      <c r="E17">
        <f t="shared" si="0"/>
        <v>2.4396855516400109</v>
      </c>
    </row>
    <row r="18" spans="1:5" x14ac:dyDescent="0.35">
      <c r="A18" s="1" t="s">
        <v>63</v>
      </c>
      <c r="B18" s="1" t="s">
        <v>8</v>
      </c>
      <c r="C18" s="1">
        <v>88</v>
      </c>
      <c r="D18" s="1">
        <v>1.927</v>
      </c>
      <c r="E18">
        <f t="shared" si="0"/>
        <v>23.854703171591218</v>
      </c>
    </row>
    <row r="19" spans="1:5" x14ac:dyDescent="0.35">
      <c r="A19" s="1" t="s">
        <v>62</v>
      </c>
      <c r="B19" s="1" t="s">
        <v>8</v>
      </c>
      <c r="C19" s="1">
        <v>18</v>
      </c>
      <c r="D19" s="1">
        <v>0.39400000000000002</v>
      </c>
      <c r="E19">
        <f t="shared" si="0"/>
        <v>4.8793711032800218</v>
      </c>
    </row>
    <row r="20" spans="1:5" x14ac:dyDescent="0.35">
      <c r="A20" s="1" t="s">
        <v>61</v>
      </c>
      <c r="B20" s="1" t="s">
        <v>8</v>
      </c>
      <c r="C20" s="1">
        <v>127</v>
      </c>
      <c r="D20" s="1">
        <v>2.7810000000000001</v>
      </c>
      <c r="E20">
        <f t="shared" si="0"/>
        <v>34.426673895364601</v>
      </c>
    </row>
    <row r="21" spans="1:5" x14ac:dyDescent="0.35">
      <c r="A21" s="1" t="s">
        <v>60</v>
      </c>
      <c r="B21" s="1" t="s">
        <v>8</v>
      </c>
      <c r="C21" s="1">
        <v>4</v>
      </c>
      <c r="D21" s="1">
        <v>8.7999999999999995E-2</v>
      </c>
      <c r="E21">
        <f t="shared" si="0"/>
        <v>1.0843046896177826</v>
      </c>
    </row>
    <row r="22" spans="1:5" x14ac:dyDescent="0.35">
      <c r="A22" s="1" t="s">
        <v>59</v>
      </c>
      <c r="B22" s="1" t="s">
        <v>55</v>
      </c>
      <c r="C22" s="1">
        <v>40</v>
      </c>
      <c r="D22" s="1">
        <v>1.212</v>
      </c>
      <c r="E22">
        <f t="shared" si="0"/>
        <v>10.843046896177826</v>
      </c>
    </row>
    <row r="23" spans="1:5" x14ac:dyDescent="0.35">
      <c r="A23" s="1" t="s">
        <v>58</v>
      </c>
      <c r="B23" s="1" t="s">
        <v>55</v>
      </c>
      <c r="C23" s="1">
        <v>18</v>
      </c>
      <c r="D23" s="1">
        <v>0.54500000000000004</v>
      </c>
      <c r="E23">
        <f t="shared" si="0"/>
        <v>4.8793711032800218</v>
      </c>
    </row>
    <row r="24" spans="1:5" x14ac:dyDescent="0.35">
      <c r="A24" s="1" t="s">
        <v>57</v>
      </c>
      <c r="B24" s="1" t="s">
        <v>55</v>
      </c>
      <c r="C24" s="1">
        <v>70</v>
      </c>
      <c r="D24" s="1">
        <v>2.121</v>
      </c>
      <c r="E24">
        <f t="shared" si="0"/>
        <v>18.975332068311193</v>
      </c>
    </row>
    <row r="25" spans="1:5" x14ac:dyDescent="0.35">
      <c r="A25" s="1" t="s">
        <v>56</v>
      </c>
      <c r="B25" s="1" t="s">
        <v>55</v>
      </c>
      <c r="C25" s="1">
        <v>4</v>
      </c>
      <c r="D25" s="1">
        <v>0.121</v>
      </c>
      <c r="E25">
        <f t="shared" si="0"/>
        <v>1.0843046896177826</v>
      </c>
    </row>
    <row r="26" spans="1:5" x14ac:dyDescent="0.35">
      <c r="A26" s="1" t="s">
        <v>54</v>
      </c>
      <c r="B26" s="1" t="s">
        <v>50</v>
      </c>
      <c r="C26" s="1">
        <v>57</v>
      </c>
      <c r="D26" s="1">
        <v>1.0649999999999999</v>
      </c>
      <c r="E26">
        <f t="shared" si="0"/>
        <v>15.451341827053401</v>
      </c>
    </row>
    <row r="27" spans="1:5" x14ac:dyDescent="0.35">
      <c r="A27" s="1" t="s">
        <v>53</v>
      </c>
      <c r="B27" s="1" t="s">
        <v>50</v>
      </c>
      <c r="C27" s="1">
        <v>23</v>
      </c>
      <c r="D27" s="1">
        <v>0.43</v>
      </c>
      <c r="E27">
        <f t="shared" si="0"/>
        <v>6.2347519653022498</v>
      </c>
    </row>
    <row r="28" spans="1:5" x14ac:dyDescent="0.35">
      <c r="A28" s="1" t="s">
        <v>52</v>
      </c>
      <c r="B28" s="1" t="s">
        <v>50</v>
      </c>
      <c r="C28" s="1">
        <v>128</v>
      </c>
      <c r="D28" s="1">
        <v>2.3929999999999998</v>
      </c>
      <c r="E28">
        <f t="shared" si="0"/>
        <v>34.697750067769043</v>
      </c>
    </row>
    <row r="29" spans="1:5" x14ac:dyDescent="0.35">
      <c r="A29" s="1" t="s">
        <v>51</v>
      </c>
      <c r="B29" s="1" t="s">
        <v>50</v>
      </c>
      <c r="C29" s="1">
        <v>6</v>
      </c>
      <c r="D29" s="1">
        <v>0.112</v>
      </c>
      <c r="E29">
        <f t="shared" si="0"/>
        <v>1.626457034426674</v>
      </c>
    </row>
    <row r="30" spans="1:5" x14ac:dyDescent="0.35">
      <c r="A30" s="1" t="s">
        <v>49</v>
      </c>
      <c r="B30" s="1" t="s">
        <v>45</v>
      </c>
      <c r="C30" s="1">
        <v>38</v>
      </c>
      <c r="D30" s="1">
        <v>1.49</v>
      </c>
      <c r="E30">
        <f t="shared" si="0"/>
        <v>10.300894551368934</v>
      </c>
    </row>
    <row r="31" spans="1:5" x14ac:dyDescent="0.35">
      <c r="A31" s="1" t="s">
        <v>48</v>
      </c>
      <c r="B31" s="1" t="s">
        <v>45</v>
      </c>
      <c r="C31" s="1">
        <v>12</v>
      </c>
      <c r="D31" s="1">
        <v>0.47099999999999997</v>
      </c>
      <c r="E31">
        <f t="shared" si="0"/>
        <v>3.252914068853348</v>
      </c>
    </row>
    <row r="32" spans="1:5" x14ac:dyDescent="0.35">
      <c r="A32" s="1" t="s">
        <v>47</v>
      </c>
      <c r="B32" s="1" t="s">
        <v>45</v>
      </c>
      <c r="C32" s="1">
        <v>49</v>
      </c>
      <c r="D32" s="1">
        <v>1.9219999999999999</v>
      </c>
      <c r="E32">
        <f t="shared" si="0"/>
        <v>13.282732447817837</v>
      </c>
    </row>
    <row r="33" spans="1:5" x14ac:dyDescent="0.35">
      <c r="A33" s="1" t="s">
        <v>46</v>
      </c>
      <c r="B33" s="1" t="s">
        <v>45</v>
      </c>
      <c r="C33" s="1">
        <v>3</v>
      </c>
      <c r="D33" s="1">
        <v>0.11799999999999999</v>
      </c>
      <c r="E33">
        <f t="shared" si="0"/>
        <v>0.813228517213337</v>
      </c>
    </row>
    <row r="34" spans="1:5" x14ac:dyDescent="0.35">
      <c r="A34" s="1" t="s">
        <v>44</v>
      </c>
      <c r="B34" s="1" t="s">
        <v>42</v>
      </c>
      <c r="C34" s="1">
        <v>126</v>
      </c>
      <c r="D34" s="1">
        <v>1.575</v>
      </c>
      <c r="E34">
        <f t="shared" si="0"/>
        <v>34.155597722960152</v>
      </c>
    </row>
    <row r="35" spans="1:5" x14ac:dyDescent="0.35">
      <c r="A35" s="1" t="s">
        <v>43</v>
      </c>
      <c r="B35" s="1" t="s">
        <v>42</v>
      </c>
      <c r="C35" s="1">
        <v>34</v>
      </c>
      <c r="D35" s="1">
        <v>0.42499999999999999</v>
      </c>
      <c r="E35">
        <f t="shared" si="0"/>
        <v>9.2165898617511512</v>
      </c>
    </row>
    <row r="36" spans="1:5" x14ac:dyDescent="0.35">
      <c r="A36" s="1" t="s">
        <v>41</v>
      </c>
      <c r="B36" s="1" t="s">
        <v>17</v>
      </c>
      <c r="C36" s="1">
        <v>8</v>
      </c>
      <c r="D36" s="1">
        <v>0.3</v>
      </c>
      <c r="E36">
        <f t="shared" si="0"/>
        <v>2.1686093792355652</v>
      </c>
    </row>
    <row r="37" spans="1:5" x14ac:dyDescent="0.35">
      <c r="A37" s="1" t="s">
        <v>40</v>
      </c>
      <c r="B37" s="1" t="s">
        <v>17</v>
      </c>
      <c r="C37" s="1">
        <v>1</v>
      </c>
      <c r="D37" s="1">
        <v>3.6999999999999998E-2</v>
      </c>
      <c r="E37">
        <f t="shared" si="0"/>
        <v>0.27107617240444565</v>
      </c>
    </row>
    <row r="38" spans="1:5" x14ac:dyDescent="0.35">
      <c r="A38" s="1" t="s">
        <v>39</v>
      </c>
      <c r="B38" s="1" t="s">
        <v>37</v>
      </c>
      <c r="C38" s="1">
        <v>36</v>
      </c>
      <c r="D38" s="1">
        <v>1.161</v>
      </c>
      <c r="E38">
        <f t="shared" si="0"/>
        <v>9.7587422065600435</v>
      </c>
    </row>
    <row r="39" spans="1:5" x14ac:dyDescent="0.35">
      <c r="A39" s="1" t="s">
        <v>38</v>
      </c>
      <c r="B39" s="1" t="s">
        <v>37</v>
      </c>
      <c r="C39" s="1">
        <v>26</v>
      </c>
      <c r="D39" s="1">
        <v>0.83899999999999997</v>
      </c>
      <c r="E39">
        <f t="shared" si="0"/>
        <v>7.0479804825155874</v>
      </c>
    </row>
    <row r="40" spans="1:5" x14ac:dyDescent="0.35">
      <c r="A40" s="1" t="s">
        <v>36</v>
      </c>
      <c r="B40" s="1" t="s">
        <v>34</v>
      </c>
      <c r="C40" s="1">
        <v>55</v>
      </c>
      <c r="D40" s="1">
        <v>1.6419999999999999</v>
      </c>
      <c r="E40">
        <f t="shared" si="0"/>
        <v>14.909189482244511</v>
      </c>
    </row>
    <row r="41" spans="1:5" x14ac:dyDescent="0.35">
      <c r="A41" s="1" t="s">
        <v>35</v>
      </c>
      <c r="B41" s="1" t="s">
        <v>34</v>
      </c>
      <c r="C41" s="1">
        <v>12</v>
      </c>
      <c r="D41" s="1">
        <v>0.35799999999999998</v>
      </c>
      <c r="E41">
        <f t="shared" si="0"/>
        <v>3.252914068853348</v>
      </c>
    </row>
    <row r="42" spans="1:5" x14ac:dyDescent="0.35">
      <c r="A42" s="1" t="s">
        <v>33</v>
      </c>
      <c r="B42" s="1" t="s">
        <v>31</v>
      </c>
      <c r="C42" s="1">
        <v>134</v>
      </c>
      <c r="D42" s="1">
        <v>1.4330000000000001</v>
      </c>
      <c r="E42">
        <f t="shared" si="0"/>
        <v>36.324207102195714</v>
      </c>
    </row>
    <row r="43" spans="1:5" x14ac:dyDescent="0.35">
      <c r="A43" s="1" t="s">
        <v>32</v>
      </c>
      <c r="B43" s="1" t="s">
        <v>31</v>
      </c>
      <c r="C43" s="1">
        <v>53</v>
      </c>
      <c r="D43" s="1">
        <v>0.56699999999999995</v>
      </c>
      <c r="E43">
        <f t="shared" si="0"/>
        <v>14.36703713743562</v>
      </c>
    </row>
    <row r="44" spans="1:5" x14ac:dyDescent="0.35">
      <c r="A44" s="1" t="s">
        <v>30</v>
      </c>
      <c r="B44" s="1" t="s">
        <v>28</v>
      </c>
      <c r="C44" s="1">
        <v>96</v>
      </c>
      <c r="D44" s="1">
        <v>1.641</v>
      </c>
      <c r="E44">
        <f t="shared" si="0"/>
        <v>26.023312550826784</v>
      </c>
    </row>
    <row r="45" spans="1:5" x14ac:dyDescent="0.35">
      <c r="A45" s="1" t="s">
        <v>29</v>
      </c>
      <c r="B45" s="1" t="s">
        <v>28</v>
      </c>
      <c r="C45" s="1">
        <v>21</v>
      </c>
      <c r="D45" s="1">
        <v>0.35899999999999999</v>
      </c>
      <c r="E45">
        <f t="shared" si="0"/>
        <v>5.6925996204933584</v>
      </c>
    </row>
    <row r="46" spans="1:5" x14ac:dyDescent="0.35">
      <c r="A46" s="1" t="s">
        <v>27</v>
      </c>
      <c r="B46" s="1" t="s">
        <v>25</v>
      </c>
      <c r="C46" s="1">
        <v>54</v>
      </c>
      <c r="D46" s="1">
        <v>1.6120000000000001</v>
      </c>
      <c r="E46">
        <f t="shared" si="0"/>
        <v>14.638113309840065</v>
      </c>
    </row>
    <row r="47" spans="1:5" x14ac:dyDescent="0.35">
      <c r="A47" s="1" t="s">
        <v>26</v>
      </c>
      <c r="B47" s="1" t="s">
        <v>25</v>
      </c>
      <c r="C47" s="1">
        <v>13</v>
      </c>
      <c r="D47" s="1">
        <v>0.38800000000000001</v>
      </c>
      <c r="E47">
        <f t="shared" si="0"/>
        <v>3.5239902412577937</v>
      </c>
    </row>
    <row r="48" spans="1:5" x14ac:dyDescent="0.35">
      <c r="A48" s="1" t="s">
        <v>24</v>
      </c>
      <c r="B48" s="1" t="s">
        <v>22</v>
      </c>
      <c r="C48" s="1">
        <v>57</v>
      </c>
      <c r="D48" s="1">
        <v>1.6060000000000001</v>
      </c>
      <c r="E48">
        <f t="shared" si="0"/>
        <v>15.451341827053401</v>
      </c>
    </row>
    <row r="49" spans="1:5" x14ac:dyDescent="0.35">
      <c r="A49" s="1" t="s">
        <v>23</v>
      </c>
      <c r="B49" s="1" t="s">
        <v>22</v>
      </c>
      <c r="C49" s="1">
        <v>14</v>
      </c>
      <c r="D49" s="1">
        <v>0.39400000000000002</v>
      </c>
      <c r="E49">
        <f t="shared" si="0"/>
        <v>3.795066413662239</v>
      </c>
    </row>
    <row r="50" spans="1:5" x14ac:dyDescent="0.35">
      <c r="A50" s="1" t="s">
        <v>21</v>
      </c>
      <c r="B50" s="1" t="s">
        <v>19</v>
      </c>
      <c r="C50" s="1">
        <v>45</v>
      </c>
      <c r="D50" s="1">
        <v>1.7310000000000001</v>
      </c>
      <c r="E50">
        <f t="shared" si="0"/>
        <v>12.198427758200054</v>
      </c>
    </row>
    <row r="51" spans="1:5" x14ac:dyDescent="0.35">
      <c r="A51" s="1" t="s">
        <v>20</v>
      </c>
      <c r="B51" s="1" t="s">
        <v>19</v>
      </c>
      <c r="C51" s="1">
        <v>7</v>
      </c>
      <c r="D51" s="1">
        <v>0.26900000000000002</v>
      </c>
      <c r="E51">
        <f t="shared" si="0"/>
        <v>1.8975332068311195</v>
      </c>
    </row>
    <row r="52" spans="1:5" x14ac:dyDescent="0.35">
      <c r="A52" s="1" t="s">
        <v>18</v>
      </c>
      <c r="B52" s="1" t="s">
        <v>17</v>
      </c>
      <c r="C52" s="1">
        <v>71</v>
      </c>
      <c r="D52" s="1">
        <v>2.6629999999999998</v>
      </c>
      <c r="E52">
        <f t="shared" si="0"/>
        <v>19.246408240715642</v>
      </c>
    </row>
    <row r="53" spans="1:5" x14ac:dyDescent="0.35">
      <c r="A53" s="1" t="s">
        <v>16</v>
      </c>
      <c r="B53" s="1" t="s">
        <v>15</v>
      </c>
      <c r="C53" s="1">
        <v>21</v>
      </c>
      <c r="D53" s="1">
        <v>1</v>
      </c>
      <c r="E53">
        <f t="shared" si="0"/>
        <v>5.6925996204933584</v>
      </c>
    </row>
    <row r="54" spans="1:5" x14ac:dyDescent="0.35">
      <c r="A54" s="1" t="s">
        <v>14</v>
      </c>
      <c r="B54" s="1" t="s">
        <v>5</v>
      </c>
      <c r="C54" s="1">
        <v>14</v>
      </c>
      <c r="D54" s="1">
        <v>0.61299999999999999</v>
      </c>
      <c r="E54">
        <f t="shared" si="0"/>
        <v>3.795066413662239</v>
      </c>
    </row>
    <row r="55" spans="1:5" x14ac:dyDescent="0.35">
      <c r="A55" s="1" t="s">
        <v>13</v>
      </c>
      <c r="B55" s="1" t="s">
        <v>5</v>
      </c>
      <c r="C55" s="1">
        <v>0</v>
      </c>
      <c r="D55" s="1">
        <v>0</v>
      </c>
      <c r="E55">
        <f t="shared" si="0"/>
        <v>0</v>
      </c>
    </row>
    <row r="56" spans="1:5" x14ac:dyDescent="0.35">
      <c r="A56" s="1" t="s">
        <v>12</v>
      </c>
      <c r="B56" s="1" t="s">
        <v>5</v>
      </c>
      <c r="C56" s="1">
        <v>30</v>
      </c>
      <c r="D56" s="1">
        <v>1.3140000000000001</v>
      </c>
      <c r="E56">
        <f t="shared" si="0"/>
        <v>8.1322851721333702</v>
      </c>
    </row>
    <row r="57" spans="1:5" x14ac:dyDescent="0.35">
      <c r="A57" s="1" t="s">
        <v>11</v>
      </c>
      <c r="B57" s="1" t="s">
        <v>5</v>
      </c>
      <c r="C57" s="1">
        <v>5</v>
      </c>
      <c r="D57" s="1">
        <v>0.219</v>
      </c>
      <c r="E57">
        <f t="shared" si="0"/>
        <v>1.3553808620222283</v>
      </c>
    </row>
    <row r="58" spans="1:5" x14ac:dyDescent="0.35">
      <c r="A58" s="1" t="s">
        <v>10</v>
      </c>
      <c r="B58" s="1" t="s">
        <v>8</v>
      </c>
      <c r="C58" s="1">
        <v>33</v>
      </c>
      <c r="D58" s="1">
        <v>0.72299999999999998</v>
      </c>
      <c r="E58">
        <f t="shared" si="0"/>
        <v>8.9455136893467078</v>
      </c>
    </row>
    <row r="59" spans="1:5" x14ac:dyDescent="0.35">
      <c r="A59" s="1" t="s">
        <v>9</v>
      </c>
      <c r="B59" s="1" t="s">
        <v>8</v>
      </c>
      <c r="C59" s="1">
        <v>4</v>
      </c>
      <c r="D59" s="1">
        <v>8.7999999999999995E-2</v>
      </c>
      <c r="E59">
        <f t="shared" si="0"/>
        <v>1.0843046896177826</v>
      </c>
    </row>
    <row r="60" spans="1:5" x14ac:dyDescent="0.35">
      <c r="A60" s="1" t="s">
        <v>7</v>
      </c>
      <c r="B60" s="1" t="s">
        <v>5</v>
      </c>
      <c r="C60" s="1">
        <v>82</v>
      </c>
      <c r="D60" s="1">
        <v>3.5910000000000002</v>
      </c>
      <c r="E60">
        <f t="shared" si="0"/>
        <v>22.228246137164543</v>
      </c>
    </row>
    <row r="61" spans="1:5" x14ac:dyDescent="0.35">
      <c r="A61" s="1" t="s">
        <v>6</v>
      </c>
      <c r="B61" s="1" t="s">
        <v>5</v>
      </c>
      <c r="C61" s="1">
        <v>6</v>
      </c>
      <c r="D61" s="1">
        <v>0.26300000000000001</v>
      </c>
      <c r="E61">
        <f t="shared" si="0"/>
        <v>1.626457034426674</v>
      </c>
    </row>
    <row r="62" spans="1:5" x14ac:dyDescent="0.35">
      <c r="A62" s="1" t="s">
        <v>4</v>
      </c>
      <c r="B62" s="1" t="s">
        <v>0</v>
      </c>
      <c r="C62" s="1">
        <v>72</v>
      </c>
      <c r="D62" s="1">
        <v>1.4330000000000001</v>
      </c>
      <c r="E62">
        <f t="shared" si="0"/>
        <v>19.517484413120087</v>
      </c>
    </row>
    <row r="63" spans="1:5" x14ac:dyDescent="0.35">
      <c r="A63" s="1" t="s">
        <v>3</v>
      </c>
      <c r="B63" s="1" t="s">
        <v>0</v>
      </c>
      <c r="C63" s="1">
        <v>11</v>
      </c>
      <c r="D63" s="1">
        <v>0.219</v>
      </c>
      <c r="E63">
        <f t="shared" si="0"/>
        <v>2.9818378964489023</v>
      </c>
    </row>
    <row r="64" spans="1:5" x14ac:dyDescent="0.35">
      <c r="A64" s="1" t="s">
        <v>2</v>
      </c>
      <c r="B64" s="1" t="s">
        <v>0</v>
      </c>
      <c r="C64" s="1">
        <v>85</v>
      </c>
      <c r="D64" s="1">
        <v>1.6919999999999999</v>
      </c>
      <c r="E64">
        <f t="shared" si="0"/>
        <v>23.041474654377883</v>
      </c>
    </row>
    <row r="65" spans="1:5" x14ac:dyDescent="0.35">
      <c r="A65" s="1" t="s">
        <v>1</v>
      </c>
      <c r="B65" s="1" t="s">
        <v>0</v>
      </c>
      <c r="C65" s="1">
        <v>33</v>
      </c>
      <c r="D65" s="1">
        <v>0.65700000000000003</v>
      </c>
      <c r="E65">
        <f t="shared" si="0"/>
        <v>8.9455136893467078</v>
      </c>
    </row>
    <row r="66" spans="1:5" x14ac:dyDescent="0.35">
      <c r="C66">
        <f>SUM(C2:C65)</f>
        <v>3689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8C94-3C32-4C34-8041-A91306228A10}">
  <dimension ref="A1:F65"/>
  <sheetViews>
    <sheetView workbookViewId="0">
      <selection activeCell="I10" sqref="I10"/>
    </sheetView>
  </sheetViews>
  <sheetFormatPr defaultRowHeight="14.5" x14ac:dyDescent="0.35"/>
  <cols>
    <col min="1" max="1" width="14.1796875" style="4" bestFit="1" customWidth="1"/>
    <col min="2" max="5" width="11.81640625" style="4" bestFit="1" customWidth="1"/>
    <col min="6" max="6" width="11.90625" style="4" bestFit="1" customWidth="1"/>
    <col min="7" max="16384" width="8.7265625" style="4"/>
  </cols>
  <sheetData>
    <row r="1" spans="1:6" x14ac:dyDescent="0.35">
      <c r="A1" s="4" t="s">
        <v>98</v>
      </c>
      <c r="B1" s="4" t="s">
        <v>93</v>
      </c>
      <c r="C1" s="4" t="s">
        <v>94</v>
      </c>
      <c r="D1" s="4" t="s">
        <v>95</v>
      </c>
      <c r="E1" s="4" t="s">
        <v>96</v>
      </c>
      <c r="F1" s="4" t="s">
        <v>97</v>
      </c>
    </row>
    <row r="2" spans="1:6" x14ac:dyDescent="0.35">
      <c r="A2" s="4">
        <v>45.998445998446002</v>
      </c>
      <c r="B2" s="4">
        <v>83.220384928164819</v>
      </c>
      <c r="C2" s="4">
        <v>82.788671023965151</v>
      </c>
      <c r="D2" s="4">
        <v>81.183817540048878</v>
      </c>
      <c r="E2" s="4">
        <v>86.146367809883884</v>
      </c>
      <c r="F2" s="4">
        <v>89.632829373650111</v>
      </c>
    </row>
    <row r="3" spans="1:6" x14ac:dyDescent="0.35">
      <c r="A3" s="4">
        <v>8.5470085470085486</v>
      </c>
      <c r="B3" s="4">
        <v>16.535646516671186</v>
      </c>
      <c r="C3" s="4">
        <v>17.701525054466231</v>
      </c>
      <c r="D3" s="4">
        <v>16.291067064892751</v>
      </c>
      <c r="E3" s="4">
        <v>17.553335133675397</v>
      </c>
      <c r="F3" s="4">
        <v>16.738660907127432</v>
      </c>
    </row>
    <row r="4" spans="1:6" x14ac:dyDescent="0.35">
      <c r="A4" s="4">
        <v>49.572649572649567</v>
      </c>
      <c r="B4" s="4">
        <v>71.564109514773662</v>
      </c>
      <c r="C4" s="4">
        <v>71.895424836601308</v>
      </c>
      <c r="D4" s="4">
        <v>72.495248438772734</v>
      </c>
      <c r="E4" s="4">
        <v>71.563597083445856</v>
      </c>
      <c r="F4" s="4">
        <v>76.403887688984881</v>
      </c>
    </row>
    <row r="5" spans="1:6" x14ac:dyDescent="0.35">
      <c r="A5" s="4">
        <v>6.8376068376068373</v>
      </c>
      <c r="B5" s="4">
        <v>17.077798861480076</v>
      </c>
      <c r="C5" s="4">
        <v>18.518518518518519</v>
      </c>
      <c r="D5" s="4">
        <v>16.019549280477872</v>
      </c>
      <c r="E5" s="4">
        <v>15.662975965433434</v>
      </c>
      <c r="F5" s="4">
        <v>15.928725701943845</v>
      </c>
    </row>
    <row r="6" spans="1:6" x14ac:dyDescent="0.35">
      <c r="A6" s="4">
        <v>6.6822066822066821</v>
      </c>
      <c r="B6" s="4">
        <v>15.180265654648956</v>
      </c>
      <c r="C6" s="4">
        <v>12.254901960784313</v>
      </c>
      <c r="D6" s="4">
        <v>11.946782514254684</v>
      </c>
      <c r="E6" s="4">
        <v>11.072103699702943</v>
      </c>
      <c r="F6" s="4">
        <v>10.259179265658746</v>
      </c>
    </row>
    <row r="7" spans="1:6" x14ac:dyDescent="0.35">
      <c r="A7" s="4">
        <v>0.62160062160062157</v>
      </c>
      <c r="B7" s="4">
        <v>1.3553808620222283</v>
      </c>
      <c r="C7" s="4">
        <v>0.81699346405228757</v>
      </c>
      <c r="D7" s="4">
        <v>1.3575889220743957</v>
      </c>
      <c r="E7" s="4">
        <v>0.27005130974885228</v>
      </c>
      <c r="F7" s="4">
        <v>0.53995680345572361</v>
      </c>
    </row>
    <row r="8" spans="1:6" x14ac:dyDescent="0.35">
      <c r="A8" s="4">
        <v>8.5470085470085486</v>
      </c>
      <c r="B8" s="4">
        <v>20.059636757928978</v>
      </c>
      <c r="C8" s="4">
        <v>16.339869281045754</v>
      </c>
      <c r="D8" s="4">
        <v>18.734727124626662</v>
      </c>
      <c r="E8" s="4">
        <v>18.093437753173106</v>
      </c>
      <c r="F8" s="4">
        <v>14.308855291576673</v>
      </c>
    </row>
    <row r="9" spans="1:6" x14ac:dyDescent="0.35">
      <c r="A9" s="4">
        <v>1.0878010878010878</v>
      </c>
      <c r="B9" s="4">
        <v>2.4396855516400109</v>
      </c>
      <c r="C9" s="4">
        <v>1.0893246187363836</v>
      </c>
      <c r="D9" s="4">
        <v>1.0860711376595167</v>
      </c>
      <c r="E9" s="4">
        <v>1.0802052389954091</v>
      </c>
      <c r="F9" s="4">
        <v>0.26997840172786181</v>
      </c>
    </row>
    <row r="10" spans="1:6" x14ac:dyDescent="0.35">
      <c r="A10" s="4">
        <v>47.552447552447553</v>
      </c>
      <c r="B10" s="4">
        <v>69.124423963133651</v>
      </c>
      <c r="C10" s="4">
        <v>74.618736383442268</v>
      </c>
      <c r="D10" s="4">
        <v>81.183817540048878</v>
      </c>
      <c r="E10" s="4">
        <v>74.534161490683232</v>
      </c>
      <c r="F10" s="4">
        <v>73.16414686825054</v>
      </c>
    </row>
    <row r="11" spans="1:6" x14ac:dyDescent="0.35">
      <c r="A11" s="4">
        <v>9.3240093240093245</v>
      </c>
      <c r="B11" s="4">
        <v>18.704255895906751</v>
      </c>
      <c r="C11" s="4">
        <v>15.522875816993464</v>
      </c>
      <c r="D11" s="4">
        <v>14.933478142818354</v>
      </c>
      <c r="E11" s="4">
        <v>13.772616797191468</v>
      </c>
      <c r="F11" s="4">
        <v>14.038876889848812</v>
      </c>
    </row>
    <row r="12" spans="1:6" x14ac:dyDescent="0.35">
      <c r="A12" s="4">
        <v>53.146853146853147</v>
      </c>
      <c r="B12" s="4">
        <v>91.081593927893735</v>
      </c>
      <c r="C12" s="4">
        <v>99.673202614379093</v>
      </c>
      <c r="D12" s="4">
        <v>98.289437958186255</v>
      </c>
      <c r="E12" s="4">
        <v>105.8601134215501</v>
      </c>
      <c r="F12" s="4">
        <v>110.42116630669547</v>
      </c>
    </row>
    <row r="13" spans="1:6" x14ac:dyDescent="0.35">
      <c r="A13" s="4">
        <v>5.7498057498057502</v>
      </c>
      <c r="B13" s="4">
        <v>15.451341827053401</v>
      </c>
      <c r="C13" s="4">
        <v>11.710239651416121</v>
      </c>
      <c r="D13" s="4">
        <v>10.589193592180287</v>
      </c>
      <c r="E13" s="4">
        <v>10.802052389954092</v>
      </c>
      <c r="F13" s="4">
        <v>8.9092872570194395</v>
      </c>
    </row>
    <row r="14" spans="1:6" x14ac:dyDescent="0.35">
      <c r="A14" s="4">
        <v>13.519813519813521</v>
      </c>
      <c r="B14" s="4">
        <v>27.649769585253459</v>
      </c>
      <c r="C14" s="4">
        <v>20.96949891067538</v>
      </c>
      <c r="D14" s="4">
        <v>23.35052945967961</v>
      </c>
      <c r="E14" s="4">
        <v>21.874156089657035</v>
      </c>
      <c r="F14" s="4">
        <v>21.598272138228939</v>
      </c>
    </row>
    <row r="15" spans="1:6" x14ac:dyDescent="0.35">
      <c r="A15" s="4">
        <v>0.93240093240093236</v>
      </c>
      <c r="B15" s="4">
        <v>1.8975332068311195</v>
      </c>
      <c r="C15" s="4">
        <v>0.81699346405228757</v>
      </c>
      <c r="D15" s="4">
        <v>2.1721422753190334</v>
      </c>
      <c r="E15" s="4">
        <v>1.0802052389954091</v>
      </c>
      <c r="F15" s="4">
        <v>0.53995680345572361</v>
      </c>
    </row>
    <row r="16" spans="1:6" x14ac:dyDescent="0.35">
      <c r="A16" s="4">
        <v>10.722610722610723</v>
      </c>
      <c r="B16" s="4">
        <v>19.246408240715642</v>
      </c>
      <c r="C16" s="4">
        <v>19.880174291938999</v>
      </c>
      <c r="D16" s="4">
        <v>18.191691555796904</v>
      </c>
      <c r="E16" s="4">
        <v>20.523899540912776</v>
      </c>
      <c r="F16" s="4">
        <v>16.198704103671709</v>
      </c>
    </row>
    <row r="17" spans="1:6" x14ac:dyDescent="0.35">
      <c r="A17" s="4">
        <v>0.31080031080031079</v>
      </c>
      <c r="B17" s="4">
        <v>2.4396855516400109</v>
      </c>
      <c r="C17" s="4">
        <v>2.4509803921568629</v>
      </c>
      <c r="D17" s="4">
        <v>1.629106706489275</v>
      </c>
      <c r="E17" s="4">
        <v>1.3502565487442615</v>
      </c>
      <c r="F17" s="4">
        <v>0.80993520518358531</v>
      </c>
    </row>
    <row r="18" spans="1:6" x14ac:dyDescent="0.35">
      <c r="A18" s="4">
        <v>12.898212898212899</v>
      </c>
      <c r="B18" s="4">
        <v>23.854703171591218</v>
      </c>
      <c r="C18" s="4">
        <v>23.692810457516337</v>
      </c>
      <c r="D18" s="4">
        <v>24.979636166168884</v>
      </c>
      <c r="E18" s="4">
        <v>26.465028355387524</v>
      </c>
      <c r="F18" s="4">
        <v>27.5377969762419</v>
      </c>
    </row>
    <row r="19" spans="1:6" x14ac:dyDescent="0.35">
      <c r="A19" s="4">
        <v>2.6418026418026419</v>
      </c>
      <c r="B19" s="4">
        <v>4.8793711032800218</v>
      </c>
      <c r="C19" s="4">
        <v>4.0849673202614385</v>
      </c>
      <c r="D19" s="4">
        <v>4.0727667662231877</v>
      </c>
      <c r="E19" s="4">
        <v>3.7807183364839321</v>
      </c>
      <c r="F19" s="4">
        <v>1.6198704103671706</v>
      </c>
    </row>
    <row r="20" spans="1:6" x14ac:dyDescent="0.35">
      <c r="A20" s="4">
        <v>18.958818958818959</v>
      </c>
      <c r="B20" s="4">
        <v>34.426673895364601</v>
      </c>
      <c r="C20" s="4">
        <v>35.403050108932462</v>
      </c>
      <c r="D20" s="4">
        <v>32.853651914200377</v>
      </c>
      <c r="E20" s="4">
        <v>33.48636240885768</v>
      </c>
      <c r="F20" s="4">
        <v>34.557235421166311</v>
      </c>
    </row>
    <row r="21" spans="1:6" x14ac:dyDescent="0.35">
      <c r="A21" s="4">
        <v>0.93240093240093236</v>
      </c>
      <c r="B21" s="4">
        <v>1.0843046896177826</v>
      </c>
      <c r="C21" s="4">
        <v>0.81699346405228757</v>
      </c>
      <c r="D21" s="4">
        <v>1.3575889220743957</v>
      </c>
      <c r="E21" s="4">
        <v>0.54010261949770455</v>
      </c>
      <c r="F21" s="4">
        <v>0.26997840172786181</v>
      </c>
    </row>
    <row r="22" spans="1:6" x14ac:dyDescent="0.35">
      <c r="A22" s="4">
        <v>7.1484071484071485</v>
      </c>
      <c r="B22" s="4">
        <v>10.843046896177826</v>
      </c>
      <c r="C22" s="4">
        <v>13.071895424836601</v>
      </c>
      <c r="D22" s="4">
        <v>12.761335867499321</v>
      </c>
      <c r="E22" s="4">
        <v>13.772616797191468</v>
      </c>
      <c r="F22" s="4">
        <v>11.609071274298056</v>
      </c>
    </row>
    <row r="23" spans="1:6" x14ac:dyDescent="0.35">
      <c r="A23" s="4">
        <v>3.7296037296037294</v>
      </c>
      <c r="B23" s="4">
        <v>4.8793711032800218</v>
      </c>
      <c r="C23" s="4">
        <v>4.0849673202614385</v>
      </c>
      <c r="D23" s="4">
        <v>3.8012489818083086</v>
      </c>
      <c r="E23" s="4">
        <v>1.6203078584931137</v>
      </c>
      <c r="F23" s="4">
        <v>2.4298056155507561</v>
      </c>
    </row>
    <row r="24" spans="1:6" x14ac:dyDescent="0.35">
      <c r="A24" s="4">
        <v>9.0132090132090124</v>
      </c>
      <c r="B24" s="4">
        <v>18.975332068311193</v>
      </c>
      <c r="C24" s="4">
        <v>17.156862745098042</v>
      </c>
      <c r="D24" s="4">
        <v>19.006244909041541</v>
      </c>
      <c r="E24" s="4">
        <v>19.983796921415067</v>
      </c>
      <c r="F24" s="4">
        <v>20.518358531317492</v>
      </c>
    </row>
    <row r="25" spans="1:6" x14ac:dyDescent="0.35">
      <c r="A25" s="4">
        <v>0.31080031080031079</v>
      </c>
      <c r="B25" s="4">
        <v>1.0843046896177826</v>
      </c>
      <c r="C25" s="4">
        <v>0.81699346405228757</v>
      </c>
      <c r="D25" s="4">
        <v>0.81455335324463751</v>
      </c>
      <c r="E25" s="4">
        <v>0.27005130974885228</v>
      </c>
      <c r="F25" s="4">
        <v>0.26997840172786181</v>
      </c>
    </row>
    <row r="26" spans="1:6" x14ac:dyDescent="0.35">
      <c r="A26" s="4">
        <v>10.567210567210568</v>
      </c>
      <c r="B26" s="4">
        <v>15.451341827053401</v>
      </c>
      <c r="C26" s="4">
        <v>11.710239651416121</v>
      </c>
      <c r="D26" s="4">
        <v>13.304371436329079</v>
      </c>
      <c r="E26" s="4">
        <v>13.772616797191468</v>
      </c>
      <c r="F26" s="4">
        <v>13.228941684665227</v>
      </c>
    </row>
    <row r="27" spans="1:6" x14ac:dyDescent="0.35">
      <c r="A27" s="4">
        <v>3.2634032634032635</v>
      </c>
      <c r="B27" s="4">
        <v>6.2347519653022498</v>
      </c>
      <c r="C27" s="4">
        <v>5.4466230936819171</v>
      </c>
      <c r="D27" s="4">
        <v>8.9600868856910125</v>
      </c>
      <c r="E27" s="4">
        <v>3.7807183364839321</v>
      </c>
      <c r="F27" s="4">
        <v>3.7796976241900651</v>
      </c>
    </row>
    <row r="28" spans="1:6" x14ac:dyDescent="0.35">
      <c r="A28" s="4">
        <v>17.404817404817404</v>
      </c>
      <c r="B28" s="4">
        <v>34.697750067769043</v>
      </c>
      <c r="C28" s="4">
        <v>40.305010893246191</v>
      </c>
      <c r="D28" s="4">
        <v>34.482758620689651</v>
      </c>
      <c r="E28" s="4">
        <v>35.646772886848503</v>
      </c>
      <c r="F28" s="4">
        <v>40.766738660907123</v>
      </c>
    </row>
    <row r="29" spans="1:6" x14ac:dyDescent="0.35">
      <c r="A29" s="4">
        <v>0.62160062160062157</v>
      </c>
      <c r="B29" s="4">
        <v>1.626457034426674</v>
      </c>
      <c r="C29" s="4">
        <v>0.81699346405228757</v>
      </c>
      <c r="D29" s="4">
        <v>1.3575889220743957</v>
      </c>
      <c r="E29" s="4">
        <v>1.3502565487442615</v>
      </c>
      <c r="F29" s="4">
        <v>0.80993520518358531</v>
      </c>
    </row>
    <row r="30" spans="1:6" x14ac:dyDescent="0.35">
      <c r="A30" s="4">
        <v>6.3714063714063718</v>
      </c>
      <c r="B30" s="4">
        <v>10.300894551368934</v>
      </c>
      <c r="C30" s="4">
        <v>10.348583877995644</v>
      </c>
      <c r="D30" s="4">
        <v>10.589193592180287</v>
      </c>
      <c r="E30" s="4">
        <v>9.7218471509586823</v>
      </c>
      <c r="F30" s="4">
        <v>8.3693304535637161</v>
      </c>
    </row>
    <row r="31" spans="1:6" x14ac:dyDescent="0.35">
      <c r="A31" s="4">
        <v>2.3310023310023311</v>
      </c>
      <c r="B31" s="4">
        <v>3.252914068853348</v>
      </c>
      <c r="C31" s="4">
        <v>2.7233115468409586</v>
      </c>
      <c r="D31" s="4">
        <v>4.0727667662231877</v>
      </c>
      <c r="E31" s="4">
        <v>3.7807183364839321</v>
      </c>
      <c r="F31" s="4">
        <v>2.4298056155507561</v>
      </c>
    </row>
    <row r="32" spans="1:6" x14ac:dyDescent="0.35">
      <c r="A32" s="4">
        <v>7.6146076146076149</v>
      </c>
      <c r="B32" s="4">
        <v>13.282732447817837</v>
      </c>
      <c r="C32" s="4">
        <v>14.43355119825708</v>
      </c>
      <c r="D32" s="4">
        <v>11.675264729839805</v>
      </c>
      <c r="E32" s="4">
        <v>14.312719416689172</v>
      </c>
      <c r="F32" s="4">
        <v>16.198704103671709</v>
      </c>
    </row>
    <row r="33" spans="1:6" x14ac:dyDescent="0.35">
      <c r="A33" s="4">
        <v>0.46620046620046618</v>
      </c>
      <c r="B33" s="4">
        <v>0.813228517213337</v>
      </c>
      <c r="C33" s="4">
        <v>0.27233115468409591</v>
      </c>
      <c r="D33" s="4">
        <v>0.54303556882975834</v>
      </c>
      <c r="E33" s="4">
        <v>0.27005130974885228</v>
      </c>
      <c r="F33" s="4">
        <v>0</v>
      </c>
    </row>
    <row r="34" spans="1:6" x14ac:dyDescent="0.35">
      <c r="A34" s="4">
        <v>22.68842268842269</v>
      </c>
      <c r="B34" s="4">
        <v>34.155597722960152</v>
      </c>
      <c r="C34" s="4">
        <v>40.032679738562088</v>
      </c>
      <c r="D34" s="4">
        <v>40.184632093402115</v>
      </c>
      <c r="E34" s="4">
        <v>41.047799081825552</v>
      </c>
      <c r="F34" s="4">
        <v>40.766738660907123</v>
      </c>
    </row>
    <row r="35" spans="1:6" x14ac:dyDescent="0.35">
      <c r="A35" s="4">
        <v>5.2836052836052838</v>
      </c>
      <c r="B35" s="4">
        <v>9.2165898617511512</v>
      </c>
      <c r="C35" s="4">
        <v>7.3529411764705879</v>
      </c>
      <c r="D35" s="4">
        <v>7.3309801792017373</v>
      </c>
      <c r="E35" s="4">
        <v>9.1817445314609785</v>
      </c>
      <c r="F35" s="4">
        <v>7.8293736501079909</v>
      </c>
    </row>
    <row r="36" spans="1:6" x14ac:dyDescent="0.35">
      <c r="A36" s="4">
        <v>1.7094017094017093</v>
      </c>
      <c r="B36" s="4">
        <v>2.1686093792355652</v>
      </c>
      <c r="C36" s="4">
        <v>2.7233115468409586</v>
      </c>
      <c r="D36" s="4">
        <v>2.1721422753190334</v>
      </c>
      <c r="E36" s="4">
        <v>2.4304617877396706</v>
      </c>
      <c r="F36" s="4">
        <v>2.9697624190064795</v>
      </c>
    </row>
    <row r="37" spans="1:6" x14ac:dyDescent="0.35">
      <c r="A37" s="4">
        <v>0</v>
      </c>
      <c r="B37" s="4">
        <v>0.27107617240444565</v>
      </c>
      <c r="C37" s="4">
        <v>0</v>
      </c>
      <c r="D37" s="4">
        <v>0.27151778441487917</v>
      </c>
      <c r="E37" s="4">
        <v>0.27005130974885228</v>
      </c>
      <c r="F37" s="4">
        <v>0</v>
      </c>
    </row>
    <row r="38" spans="1:6" x14ac:dyDescent="0.35">
      <c r="A38" s="4">
        <v>6.9930069930069934</v>
      </c>
      <c r="B38" s="4">
        <v>9.7587422065600435</v>
      </c>
      <c r="C38" s="4">
        <v>11.16557734204793</v>
      </c>
      <c r="D38" s="4">
        <v>10.860711376595166</v>
      </c>
      <c r="E38" s="4">
        <v>12.422360248447204</v>
      </c>
      <c r="F38" s="4">
        <v>11.339092872570195</v>
      </c>
    </row>
    <row r="39" spans="1:6" x14ac:dyDescent="0.35">
      <c r="A39" s="4">
        <v>2.9526029526029527</v>
      </c>
      <c r="B39" s="4">
        <v>7.0479804825155874</v>
      </c>
      <c r="C39" s="4">
        <v>4.3572984749455346</v>
      </c>
      <c r="D39" s="4">
        <v>6.244909041542221</v>
      </c>
      <c r="E39" s="4">
        <v>3.5106670267350797</v>
      </c>
      <c r="F39" s="4">
        <v>5.1295896328293731</v>
      </c>
    </row>
    <row r="40" spans="1:6" x14ac:dyDescent="0.35">
      <c r="A40" s="4">
        <v>8.0808080808080813</v>
      </c>
      <c r="B40" s="4">
        <v>14.909189482244511</v>
      </c>
      <c r="C40" s="4">
        <v>15.250544662309368</v>
      </c>
      <c r="D40" s="4">
        <v>13.575889220743958</v>
      </c>
      <c r="E40" s="4">
        <v>14.582770726438023</v>
      </c>
      <c r="F40" s="4">
        <v>13.76889848812095</v>
      </c>
    </row>
    <row r="41" spans="1:6" x14ac:dyDescent="0.35">
      <c r="A41" s="4">
        <v>1.3986013986013985</v>
      </c>
      <c r="B41" s="4">
        <v>3.252914068853348</v>
      </c>
      <c r="C41" s="4">
        <v>2.7233115468409586</v>
      </c>
      <c r="D41" s="4">
        <v>3.5297311973934291</v>
      </c>
      <c r="E41" s="4">
        <v>3.2406157169862273</v>
      </c>
      <c r="F41" s="4">
        <v>2.4298056155507561</v>
      </c>
    </row>
    <row r="42" spans="1:6" x14ac:dyDescent="0.35">
      <c r="A42" s="4">
        <v>22.68842268842269</v>
      </c>
      <c r="B42" s="4">
        <v>36.324207102195714</v>
      </c>
      <c r="C42" s="4">
        <v>38.671023965141615</v>
      </c>
      <c r="D42" s="4">
        <v>37.469454249253324</v>
      </c>
      <c r="E42" s="4">
        <v>37.267080745341616</v>
      </c>
      <c r="F42" s="4">
        <v>39.956803455723538</v>
      </c>
    </row>
    <row r="43" spans="1:6" x14ac:dyDescent="0.35">
      <c r="A43" s="4">
        <v>6.3714063714063718</v>
      </c>
      <c r="B43" s="4">
        <v>14.36703713743562</v>
      </c>
      <c r="C43" s="4">
        <v>13.616557734204793</v>
      </c>
      <c r="D43" s="4">
        <v>14.118924789573716</v>
      </c>
      <c r="E43" s="4">
        <v>12.692411558196058</v>
      </c>
      <c r="F43" s="4">
        <v>13.228941684665227</v>
      </c>
    </row>
    <row r="44" spans="1:6" x14ac:dyDescent="0.35">
      <c r="A44" s="4">
        <v>16.317016317016318</v>
      </c>
      <c r="B44" s="4">
        <v>26.023312550826784</v>
      </c>
      <c r="C44" s="4">
        <v>30.22875816993464</v>
      </c>
      <c r="D44" s="4">
        <v>27.966331794732554</v>
      </c>
      <c r="E44" s="4">
        <v>28.085336213880638</v>
      </c>
      <c r="F44" s="4">
        <v>30.23758099352052</v>
      </c>
    </row>
    <row r="45" spans="1:6" x14ac:dyDescent="0.35">
      <c r="A45" s="4">
        <v>2.6418026418026419</v>
      </c>
      <c r="B45" s="4">
        <v>5.6925996204933584</v>
      </c>
      <c r="C45" s="4">
        <v>3.812636165577342</v>
      </c>
      <c r="D45" s="4">
        <v>4.6158023350529458</v>
      </c>
      <c r="E45" s="4">
        <v>5.4010261949770459</v>
      </c>
      <c r="F45" s="4">
        <v>3.7796976241900651</v>
      </c>
    </row>
    <row r="46" spans="1:6" x14ac:dyDescent="0.35">
      <c r="A46" s="4">
        <v>7.6146076146076149</v>
      </c>
      <c r="B46" s="4">
        <v>14.638113309840065</v>
      </c>
      <c r="C46" s="4">
        <v>16.067538126361658</v>
      </c>
      <c r="D46" s="4">
        <v>13.847407005158837</v>
      </c>
      <c r="E46" s="4">
        <v>17.283283823926546</v>
      </c>
      <c r="F46" s="4">
        <v>14.578833693304537</v>
      </c>
    </row>
    <row r="47" spans="1:6" x14ac:dyDescent="0.35">
      <c r="A47" s="4">
        <v>3.1080031080031079</v>
      </c>
      <c r="B47" s="4">
        <v>3.5239902412577937</v>
      </c>
      <c r="C47" s="4">
        <v>3.2679738562091503</v>
      </c>
      <c r="D47" s="4">
        <v>4.0727667662231877</v>
      </c>
      <c r="E47" s="4">
        <v>2.700513097488523</v>
      </c>
      <c r="F47" s="4">
        <v>3.7796976241900651</v>
      </c>
    </row>
    <row r="48" spans="1:6" x14ac:dyDescent="0.35">
      <c r="A48" s="4">
        <v>8.857808857808859</v>
      </c>
      <c r="B48" s="4">
        <v>15.451341827053401</v>
      </c>
      <c r="C48" s="4">
        <v>17.701525054466231</v>
      </c>
      <c r="D48" s="4">
        <v>15.748031496062993</v>
      </c>
      <c r="E48" s="4">
        <v>15.392924655684579</v>
      </c>
      <c r="F48" s="4">
        <v>17.00863930885529</v>
      </c>
    </row>
    <row r="49" spans="1:6" x14ac:dyDescent="0.35">
      <c r="A49" s="4">
        <v>3.2634032634032635</v>
      </c>
      <c r="B49" s="4">
        <v>3.795066413662239</v>
      </c>
      <c r="C49" s="4">
        <v>2.4509803921568629</v>
      </c>
      <c r="D49" s="4">
        <v>3.25821341297855</v>
      </c>
      <c r="E49" s="4">
        <v>4.5908722657304892</v>
      </c>
      <c r="F49" s="4">
        <v>4.0496760259179272</v>
      </c>
    </row>
    <row r="50" spans="1:6" x14ac:dyDescent="0.35">
      <c r="A50" s="4">
        <v>6.6822066822066821</v>
      </c>
      <c r="B50" s="4">
        <v>12.198427758200054</v>
      </c>
      <c r="C50" s="4">
        <v>11.16557734204793</v>
      </c>
      <c r="D50" s="4">
        <v>14.390442573988595</v>
      </c>
      <c r="E50" s="4">
        <v>11.8822576289495</v>
      </c>
      <c r="F50" s="4">
        <v>13.228941684665227</v>
      </c>
    </row>
    <row r="51" spans="1:6" x14ac:dyDescent="0.35">
      <c r="A51" s="4">
        <v>0.93240093240093236</v>
      </c>
      <c r="B51" s="4">
        <v>1.8975332068311195</v>
      </c>
      <c r="C51" s="4">
        <v>2.4509803921568629</v>
      </c>
      <c r="D51" s="4">
        <v>1.0860711376595167</v>
      </c>
      <c r="E51" s="4">
        <v>2.1604104779908182</v>
      </c>
      <c r="F51" s="4">
        <v>1.0799136069114472</v>
      </c>
    </row>
    <row r="52" spans="1:6" x14ac:dyDescent="0.35">
      <c r="A52" s="4">
        <v>11.4996114996115</v>
      </c>
      <c r="B52" s="4">
        <v>19.246408240715642</v>
      </c>
      <c r="C52" s="4">
        <v>22.058823529411764</v>
      </c>
      <c r="D52" s="4">
        <v>20.363833831115937</v>
      </c>
      <c r="E52" s="4">
        <v>19.713745611666216</v>
      </c>
      <c r="F52" s="4">
        <v>19.708423326133911</v>
      </c>
    </row>
    <row r="53" spans="1:6" x14ac:dyDescent="0.35">
      <c r="A53" s="4">
        <v>2.6418026418026419</v>
      </c>
      <c r="B53" s="4">
        <v>5.6925996204933584</v>
      </c>
      <c r="C53" s="4">
        <v>3.2679738562091503</v>
      </c>
      <c r="D53" s="4">
        <v>4.6158023350529458</v>
      </c>
      <c r="E53" s="4">
        <v>5.4010261949770459</v>
      </c>
      <c r="F53" s="4">
        <v>4.8596112311015123</v>
      </c>
    </row>
    <row r="54" spans="1:6" x14ac:dyDescent="0.35">
      <c r="A54" s="4">
        <v>2.9526029526029527</v>
      </c>
      <c r="B54" s="4">
        <v>3.795066413662239</v>
      </c>
      <c r="C54" s="4">
        <v>5.9912854030501084</v>
      </c>
      <c r="D54" s="4">
        <v>3.5297311973934291</v>
      </c>
      <c r="E54" s="4">
        <v>4.3208209559816364</v>
      </c>
      <c r="F54" s="4">
        <v>5.3995680345572348</v>
      </c>
    </row>
    <row r="55" spans="1:6" x14ac:dyDescent="0.35">
      <c r="A55" s="4">
        <v>0.15540015540015539</v>
      </c>
      <c r="B55" s="4">
        <v>0</v>
      </c>
      <c r="C55" s="4">
        <v>0.27233115468409591</v>
      </c>
      <c r="D55" s="4">
        <v>0.54303556882975834</v>
      </c>
      <c r="E55" s="4">
        <v>0.27005130974885228</v>
      </c>
      <c r="F55" s="4">
        <v>0</v>
      </c>
    </row>
    <row r="56" spans="1:6" x14ac:dyDescent="0.35">
      <c r="A56" s="4">
        <v>4.1958041958041958</v>
      </c>
      <c r="B56" s="4">
        <v>8.1322851721333702</v>
      </c>
      <c r="C56" s="4">
        <v>6.5359477124183005</v>
      </c>
      <c r="D56" s="4">
        <v>8.1455335324463753</v>
      </c>
      <c r="E56" s="4">
        <v>7.5614366729678641</v>
      </c>
      <c r="F56" s="4">
        <v>7.0194384449244058</v>
      </c>
    </row>
    <row r="57" spans="1:6" x14ac:dyDescent="0.35">
      <c r="A57" s="4">
        <v>0.46620046620046618</v>
      </c>
      <c r="B57" s="4">
        <v>1.3553808620222283</v>
      </c>
      <c r="C57" s="4">
        <v>0</v>
      </c>
      <c r="D57" s="4">
        <v>1.0860711376595167</v>
      </c>
      <c r="E57" s="4">
        <v>0.54010261949770455</v>
      </c>
      <c r="F57" s="4">
        <v>0.26997840172786181</v>
      </c>
    </row>
    <row r="58" spans="1:6" x14ac:dyDescent="0.35">
      <c r="A58" s="4">
        <v>4.6620046620046622</v>
      </c>
      <c r="B58" s="4">
        <v>8.9455136893467078</v>
      </c>
      <c r="C58" s="4">
        <v>9.2592592592592595</v>
      </c>
      <c r="D58" s="4">
        <v>9.2316046701058916</v>
      </c>
      <c r="E58" s="4">
        <v>10.261949770456388</v>
      </c>
      <c r="F58" s="4">
        <v>5.6695464362850974</v>
      </c>
    </row>
    <row r="59" spans="1:6" x14ac:dyDescent="0.35">
      <c r="A59" s="4">
        <v>0.46620046620046618</v>
      </c>
      <c r="B59" s="4">
        <v>1.0843046896177826</v>
      </c>
      <c r="C59" s="4">
        <v>1.0893246187363836</v>
      </c>
      <c r="D59" s="4">
        <v>1.3575889220743957</v>
      </c>
      <c r="E59" s="4">
        <v>1.6203078584931137</v>
      </c>
      <c r="F59" s="4">
        <v>0.53995680345572361</v>
      </c>
    </row>
    <row r="60" spans="1:6" x14ac:dyDescent="0.35">
      <c r="A60" s="4">
        <v>12.898212898212899</v>
      </c>
      <c r="B60" s="4">
        <v>22.228246137164543</v>
      </c>
      <c r="C60" s="4">
        <v>20.96949891067538</v>
      </c>
      <c r="D60" s="4">
        <v>21.449904968775453</v>
      </c>
      <c r="E60" s="4">
        <v>18.903591682419659</v>
      </c>
      <c r="F60" s="4">
        <v>22.408207343412528</v>
      </c>
    </row>
    <row r="61" spans="1:6" x14ac:dyDescent="0.35">
      <c r="A61" s="4">
        <v>0.93240093240093236</v>
      </c>
      <c r="B61" s="4">
        <v>1.626457034426674</v>
      </c>
      <c r="C61" s="4">
        <v>2.4509803921568629</v>
      </c>
      <c r="D61" s="4">
        <v>2.1721422753190334</v>
      </c>
      <c r="E61" s="4">
        <v>2.1604104779908182</v>
      </c>
      <c r="F61" s="4">
        <v>2.4298056155507561</v>
      </c>
    </row>
    <row r="62" spans="1:6" x14ac:dyDescent="0.35">
      <c r="A62" s="4">
        <v>10.722610722610723</v>
      </c>
      <c r="B62" s="4">
        <v>19.517484413120087</v>
      </c>
      <c r="C62" s="4">
        <v>18.518518518518519</v>
      </c>
      <c r="D62" s="4">
        <v>18.191691555796904</v>
      </c>
      <c r="E62" s="4">
        <v>19.713745611666216</v>
      </c>
      <c r="F62" s="4">
        <v>19.168466522678184</v>
      </c>
    </row>
    <row r="63" spans="1:6" x14ac:dyDescent="0.35">
      <c r="A63" s="4">
        <v>0.62160062160062157</v>
      </c>
      <c r="B63" s="4">
        <v>2.9818378964489023</v>
      </c>
      <c r="C63" s="4">
        <v>2.4509803921568629</v>
      </c>
      <c r="D63" s="4">
        <v>2.4436600597339124</v>
      </c>
      <c r="E63" s="4">
        <v>2.700513097488523</v>
      </c>
      <c r="F63" s="4">
        <v>2.6997840172786174</v>
      </c>
    </row>
    <row r="64" spans="1:6" x14ac:dyDescent="0.35">
      <c r="A64" s="4">
        <v>12.121212121212121</v>
      </c>
      <c r="B64" s="4">
        <v>23.041474654377883</v>
      </c>
      <c r="C64" s="4">
        <v>23.692810457516337</v>
      </c>
      <c r="D64" s="4">
        <v>21.178387184360574</v>
      </c>
      <c r="E64" s="4">
        <v>24.034566567647854</v>
      </c>
      <c r="F64" s="4">
        <v>25.107991360691145</v>
      </c>
    </row>
    <row r="65" spans="1:6" x14ac:dyDescent="0.35">
      <c r="A65" s="4">
        <v>7.9254079254079262</v>
      </c>
      <c r="B65" s="4">
        <v>8.9455136893467078</v>
      </c>
      <c r="C65" s="4">
        <v>8.169934640522877</v>
      </c>
      <c r="D65" s="4">
        <v>10.860711376595166</v>
      </c>
      <c r="E65" s="4">
        <v>4.8609235754793412</v>
      </c>
      <c r="F65" s="4">
        <v>5.3995680345572348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p_philippinicum</vt:lpstr>
      <vt:lpstr>c_westwoodii</vt:lpstr>
      <vt:lpstr>c_tibetense</vt:lpstr>
      <vt:lpstr>p_bioculatum</vt:lpstr>
      <vt:lpstr>c_oyae</vt:lpstr>
      <vt:lpstr>p_giganteum</vt:lpstr>
      <vt:lpstr>CDspT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Aldcroft</dc:creator>
  <cp:lastModifiedBy>Victoria Aldcroft</cp:lastModifiedBy>
  <dcterms:created xsi:type="dcterms:W3CDTF">2025-04-04T13:05:25Z</dcterms:created>
  <dcterms:modified xsi:type="dcterms:W3CDTF">2025-04-07T10:13:23Z</dcterms:modified>
</cp:coreProperties>
</file>